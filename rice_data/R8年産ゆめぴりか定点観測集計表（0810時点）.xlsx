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mo/linux_work/Norin/rice_data/"/>
    </mc:Choice>
  </mc:AlternateContent>
  <xr:revisionPtr revIDLastSave="0" documentId="13_ncr:1_{9A7BD395-12E4-6745-A43C-6FB15029C277}" xr6:coauthVersionLast="47" xr6:coauthVersionMax="47" xr10:uidLastSave="{00000000-0000-0000-0000-000000000000}"/>
  <bookViews>
    <workbookView xWindow="6160" yWindow="1360" windowWidth="29400" windowHeight="18460" xr2:uid="{00000000-000D-0000-FFFF-FFFF00000000}"/>
  </bookViews>
  <sheets>
    <sheet name="R8調査表" sheetId="13" r:id="rId1"/>
    <sheet name="R7調査表" sheetId="10" r:id="rId2"/>
    <sheet name="R6集計" sheetId="12" r:id="rId3"/>
    <sheet name="R5集計 " sheetId="9" r:id="rId4"/>
    <sheet name="R4集計" sheetId="8" r:id="rId5"/>
    <sheet name="R3集計" sheetId="5" r:id="rId6"/>
    <sheet name="Sheet2" sheetId="14" r:id="rId7"/>
    <sheet name="R2集計" sheetId="4" state="hidden" r:id="rId8"/>
    <sheet name="R1集計" sheetId="3" state="hidden" r:id="rId9"/>
    <sheet name="R4所有者確認" sheetId="6" state="hidden" r:id="rId10"/>
    <sheet name="Sheet1" sheetId="7" state="hidden" r:id="rId11"/>
  </sheets>
  <definedNames>
    <definedName name="_xlnm.Print_Area" localSheetId="8">'R1集計'!$A$1:$M$48</definedName>
    <definedName name="_xlnm.Print_Area" localSheetId="7">'R2集計'!$A$1:$K$48</definedName>
    <definedName name="_xlnm.Print_Area" localSheetId="5">'R3集計'!$A$1:$K$48</definedName>
    <definedName name="_xlnm.Print_Titles" localSheetId="8">'R1集計'!$1:$6</definedName>
    <definedName name="_xlnm.Print_Titles" localSheetId="7">'R2集計'!$1:$6</definedName>
    <definedName name="_xlnm.Print_Titles" localSheetId="5">'R3集計'!$1:$6</definedName>
    <definedName name="_xlnm.Print_Titles" localSheetId="2">'R6集計'!$1:$6</definedName>
    <definedName name="_xlnm.Print_Titles" localSheetId="1">'R7調査表'!$1:$7</definedName>
    <definedName name="_xlnm.Print_Titles" localSheetId="0">'R8調査表'!$1:$7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3" l="1"/>
  <c r="P49" i="10"/>
  <c r="K2" i="9"/>
  <c r="R24" i="8" l="1"/>
  <c r="R9" i="8"/>
  <c r="R20" i="8"/>
  <c r="R19" i="8"/>
  <c r="R46" i="8"/>
  <c r="R40" i="8"/>
  <c r="R36" i="8"/>
  <c r="R34" i="8"/>
  <c r="R31" i="8"/>
  <c r="R28" i="8"/>
  <c r="R27" i="8"/>
  <c r="R26" i="8"/>
  <c r="K21" i="8" l="1"/>
  <c r="K22" i="8"/>
  <c r="K23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4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S2" i="8"/>
  <c r="N1" i="6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46" i="4" l="1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M9" i="3" l="1"/>
  <c r="M8" i="3"/>
  <c r="M7" i="3"/>
  <c r="M36" i="3"/>
  <c r="M35" i="3"/>
  <c r="M34" i="3" l="1"/>
  <c r="M33" i="3"/>
  <c r="M32" i="3"/>
  <c r="M31" i="3"/>
  <c r="M30" i="3"/>
  <c r="M29" i="3"/>
  <c r="M28" i="3"/>
  <c r="M27" i="3"/>
  <c r="M25" i="3"/>
  <c r="M24" i="3"/>
  <c r="M23" i="3"/>
  <c r="M22" i="3"/>
  <c r="M21" i="3"/>
  <c r="M12" i="3" l="1"/>
  <c r="M11" i="3"/>
  <c r="M10" i="3"/>
  <c r="M46" i="3" l="1"/>
  <c r="M45" i="3"/>
  <c r="M44" i="3"/>
  <c r="M43" i="3"/>
  <c r="M42" i="3"/>
  <c r="M41" i="3"/>
  <c r="M40" i="3"/>
  <c r="M39" i="3"/>
  <c r="M38" i="3"/>
  <c r="M37" i="3"/>
</calcChain>
</file>

<file path=xl/sharedStrings.xml><?xml version="1.0" encoding="utf-8"?>
<sst xmlns="http://schemas.openxmlformats.org/spreadsheetml/2006/main" count="2513" uniqueCount="506">
  <si>
    <t>令和8年度「ゆめぴりか」食味関連成分含有率定点観測分析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</si>
  <si>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調査表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チョウサ</t>
    </rPh>
    <rPh sb="14" eb="15">
      <t>ヒョウ</t>
    </rPh>
    <phoneticPr fontId="1"/>
  </si>
  <si>
    <r>
      <rPr>
        <sz val="12"/>
        <color theme="1"/>
        <rFont val="ＭＳ Ｐゴシック"/>
        <family val="3"/>
        <charset val="128"/>
      </rPr>
      <t>6月22日までに更新・入力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</si>
  <si>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8月10日
まで入力</t>
    <rPh sb="1" eb="2">
      <t>ツキ</t>
    </rPh>
    <rPh sb="4" eb="5">
      <t>ニチ</t>
    </rPh>
    <rPh sb="8" eb="10">
      <t>ニュウリョク</t>
    </rPh>
    <phoneticPr fontId="1"/>
  </si>
  <si>
    <t>9月30日
（目安）まで入力</t>
    <rPh sb="1" eb="2">
      <t>ツキ</t>
    </rPh>
    <rPh sb="4" eb="5">
      <t>ニチ</t>
    </rPh>
    <rPh sb="7" eb="9">
      <t>メヤス</t>
    </rPh>
    <rPh sb="12" eb="14">
      <t>ニュウリョク</t>
    </rPh>
    <phoneticPr fontId="1"/>
  </si>
  <si>
    <t>備考</t>
    <rPh sb="0" eb="2">
      <t>ビコウ</t>
    </rPh>
    <phoneticPr fontId="1"/>
  </si>
  <si>
    <t>アミダス
推定値</t>
    <rPh sb="5" eb="8">
      <t xml:space="preserve">スイテイチ </t>
    </rPh>
    <phoneticPr fontId="1"/>
  </si>
  <si>
    <t>令和8年産</t>
    <rPh sb="0" eb="2">
      <t>レイワ</t>
    </rPh>
    <rPh sb="3" eb="4">
      <t>ネン</t>
    </rPh>
    <rPh sb="4" eb="5">
      <t>サン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</si>
  <si>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</si>
  <si>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</si>
  <si>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播種日</t>
    <rPh sb="0" eb="2">
      <t>ハシュ</t>
    </rPh>
    <rPh sb="2" eb="3">
      <t>ビ</t>
    </rPh>
    <phoneticPr fontId="1"/>
  </si>
  <si>
    <t>移植期</t>
    <rPh sb="0" eb="2">
      <t>イショク</t>
    </rPh>
    <rPh sb="2" eb="3">
      <t>キ</t>
    </rPh>
    <phoneticPr fontId="1"/>
  </si>
  <si>
    <t>移植した</t>
    <rPh sb="0" eb="2">
      <t>イショク</t>
    </rPh>
    <phoneticPr fontId="1"/>
  </si>
  <si>
    <t>出穂期</t>
    <rPh sb="0" eb="2">
      <t>シュッスイ</t>
    </rPh>
    <rPh sb="2" eb="3">
      <t>キ</t>
    </rPh>
    <phoneticPr fontId="1"/>
  </si>
  <si>
    <t>精米タンパク</t>
    <rPh sb="0" eb="2">
      <t>セイマイ</t>
    </rPh>
    <phoneticPr fontId="1"/>
  </si>
  <si>
    <t>アミロース
含有率
推定値
（％）</t>
    <phoneticPr fontId="1"/>
  </si>
  <si>
    <t>№</t>
    <phoneticPr fontId="1"/>
  </si>
  <si>
    <t>協議会</t>
    <phoneticPr fontId="1"/>
  </si>
  <si>
    <t xml:space="preserve"> ＪＡ</t>
    <phoneticPr fontId="1"/>
  </si>
  <si>
    <t>地区</t>
    <phoneticPr fontId="1"/>
  </si>
  <si>
    <t>ほ場
所有者様</t>
    <rPh sb="1" eb="2">
      <t>ジョウ</t>
    </rPh>
    <rPh sb="3" eb="6">
      <t>ショユウシャ</t>
    </rPh>
    <rPh sb="6" eb="7">
      <t>サマ</t>
    </rPh>
    <phoneticPr fontId="1"/>
  </si>
  <si>
    <t>ほ場住所</t>
    <rPh sb="1" eb="2">
      <t>ジョウ</t>
    </rPh>
    <rPh sb="2" eb="4">
      <t>ジュウショ</t>
    </rPh>
    <phoneticPr fontId="1"/>
  </si>
  <si>
    <t>苗の種類</t>
    <rPh sb="0" eb="1">
      <t>ナエ</t>
    </rPh>
    <rPh sb="2" eb="4">
      <t>シュルイ</t>
    </rPh>
    <phoneticPr fontId="1"/>
  </si>
  <si>
    <t>（月日）</t>
    <rPh sb="1" eb="3">
      <t>ガッピ</t>
    </rPh>
    <phoneticPr fontId="1"/>
  </si>
  <si>
    <t>（中苗or成苗）</t>
    <rPh sb="1" eb="2">
      <t>チュウ</t>
    </rPh>
    <rPh sb="2" eb="3">
      <t>ビョウ</t>
    </rPh>
    <rPh sb="5" eb="6">
      <t>セイ</t>
    </rPh>
    <rPh sb="6" eb="7">
      <t>ビョウ</t>
    </rPh>
    <phoneticPr fontId="1"/>
  </si>
  <si>
    <t>（％）</t>
    <phoneticPr fontId="1"/>
  </si>
  <si>
    <t>函　館</t>
    <phoneticPr fontId="1"/>
  </si>
  <si>
    <t>今金町</t>
    <phoneticPr fontId="1"/>
  </si>
  <si>
    <t>今金町</t>
    <rPh sb="0" eb="2">
      <t>イマカネ</t>
    </rPh>
    <rPh sb="2" eb="3">
      <t>チョウ</t>
    </rPh>
    <phoneticPr fontId="1"/>
  </si>
  <si>
    <t>村上　忠弘</t>
    <rPh sb="0" eb="2">
      <t>ムラカミ</t>
    </rPh>
    <rPh sb="3" eb="5">
      <t>タダヒロ</t>
    </rPh>
    <phoneticPr fontId="1"/>
  </si>
  <si>
    <t>瀬棚郡今金町字神丘</t>
    <rPh sb="0" eb="2">
      <t>セタナ</t>
    </rPh>
    <rPh sb="2" eb="3">
      <t>グン</t>
    </rPh>
    <rPh sb="3" eb="6">
      <t>イマカネチョウ</t>
    </rPh>
    <rPh sb="6" eb="7">
      <t>アザ</t>
    </rPh>
    <rPh sb="7" eb="8">
      <t>カミ</t>
    </rPh>
    <rPh sb="8" eb="9">
      <t>オカ</t>
    </rPh>
    <phoneticPr fontId="1"/>
  </si>
  <si>
    <t>中苗</t>
  </si>
  <si>
    <t>（3定点）</t>
    <phoneticPr fontId="1"/>
  </si>
  <si>
    <t>新はこだて</t>
  </si>
  <si>
    <t>せたな町</t>
    <rPh sb="3" eb="4">
      <t>チョウ</t>
    </rPh>
    <phoneticPr fontId="1"/>
  </si>
  <si>
    <t>赤石　泰成</t>
    <rPh sb="0" eb="2">
      <t>アカイシ</t>
    </rPh>
    <rPh sb="3" eb="5">
      <t>ヤスナリ</t>
    </rPh>
    <phoneticPr fontId="1"/>
  </si>
  <si>
    <t>久遠郡せたな町北檜山区松岡</t>
  </si>
  <si>
    <t>新はこだて</t>
    <rPh sb="0" eb="1">
      <t>シン</t>
    </rPh>
    <phoneticPr fontId="1"/>
  </si>
  <si>
    <t>森町</t>
    <rPh sb="0" eb="1">
      <t>モリ</t>
    </rPh>
    <rPh sb="1" eb="2">
      <t>マチ</t>
    </rPh>
    <phoneticPr fontId="1"/>
  </si>
  <si>
    <t>小原　三弘</t>
    <rPh sb="0" eb="2">
      <t>オバラ</t>
    </rPh>
    <rPh sb="3" eb="4">
      <t>サン</t>
    </rPh>
    <rPh sb="4" eb="5">
      <t>ヒロシ</t>
    </rPh>
    <phoneticPr fontId="1"/>
  </si>
  <si>
    <t>茅部郡森町字駒ヶ岳</t>
    <rPh sb="0" eb="2">
      <t>カヤベ</t>
    </rPh>
    <rPh sb="2" eb="3">
      <t>グン</t>
    </rPh>
    <rPh sb="3" eb="5">
      <t>モリマチ</t>
    </rPh>
    <rPh sb="5" eb="6">
      <t>アザ</t>
    </rPh>
    <rPh sb="6" eb="7">
      <t>コマ</t>
    </rPh>
    <rPh sb="8" eb="9">
      <t>タケ</t>
    </rPh>
    <phoneticPr fontId="1"/>
  </si>
  <si>
    <t>倶知安</t>
    <phoneticPr fontId="1"/>
  </si>
  <si>
    <t>きょうわ</t>
    <phoneticPr fontId="1"/>
  </si>
  <si>
    <t>共和町</t>
    <rPh sb="0" eb="2">
      <t>キョウワ</t>
    </rPh>
    <rPh sb="2" eb="3">
      <t>チョウ</t>
    </rPh>
    <phoneticPr fontId="1"/>
  </si>
  <si>
    <t>駒形　貴之</t>
    <rPh sb="0" eb="2">
      <t>コマガタ</t>
    </rPh>
    <rPh sb="3" eb="5">
      <t>タカユキ</t>
    </rPh>
    <phoneticPr fontId="1"/>
  </si>
  <si>
    <t>岩内郡共和町南幌似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</si>
  <si>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中苗</t>
    <rPh sb="0" eb="1">
      <t>チュウ</t>
    </rPh>
    <rPh sb="1" eb="2">
      <t>ナエ</t>
    </rPh>
    <phoneticPr fontId="1"/>
  </si>
  <si>
    <t>ようてい</t>
    <phoneticPr fontId="1"/>
  </si>
  <si>
    <t>蘭越町</t>
    <rPh sb="2" eb="3">
      <t>マチ</t>
    </rPh>
    <phoneticPr fontId="1"/>
  </si>
  <si>
    <t>川崎　隆行</t>
    <rPh sb="0" eb="2">
      <t>カワサキ</t>
    </rPh>
    <rPh sb="3" eb="5">
      <t>タカユキ</t>
    </rPh>
    <phoneticPr fontId="1"/>
  </si>
  <si>
    <t>磯谷郡蘭越町</t>
    <rPh sb="0" eb="3">
      <t>イソヤグン</t>
    </rPh>
    <rPh sb="3" eb="6">
      <t>ランコシチョウ</t>
    </rPh>
    <phoneticPr fontId="1"/>
  </si>
  <si>
    <t>中苗</t>
    <rPh sb="0" eb="1">
      <t>ナカ</t>
    </rPh>
    <rPh sb="1" eb="2">
      <t>ナエ</t>
    </rPh>
    <phoneticPr fontId="1"/>
  </si>
  <si>
    <t>ニセコ町</t>
    <rPh sb="3" eb="4">
      <t>マチ</t>
    </rPh>
    <phoneticPr fontId="1"/>
  </si>
  <si>
    <t>三橋　人志</t>
    <rPh sb="0" eb="2">
      <t>ミツハシ</t>
    </rPh>
    <rPh sb="3" eb="4">
      <t>ニン</t>
    </rPh>
    <rPh sb="4" eb="5">
      <t>シ</t>
    </rPh>
    <phoneticPr fontId="1"/>
  </si>
  <si>
    <t>虻田郡ニセコ町字宮田</t>
    <rPh sb="0" eb="3">
      <t>アブタグン</t>
    </rPh>
    <rPh sb="6" eb="7">
      <t>マチ</t>
    </rPh>
    <rPh sb="7" eb="8">
      <t>アザ</t>
    </rPh>
    <rPh sb="8" eb="10">
      <t>ミヤタ</t>
    </rPh>
    <phoneticPr fontId="1"/>
  </si>
  <si>
    <t>苫小牧</t>
  </si>
  <si>
    <t>とまこまい広域</t>
    <phoneticPr fontId="1"/>
  </si>
  <si>
    <t>厚真町</t>
    <rPh sb="0" eb="2">
      <t>アツマ</t>
    </rPh>
    <rPh sb="2" eb="3">
      <t>チョウ</t>
    </rPh>
    <phoneticPr fontId="1"/>
  </si>
  <si>
    <t>安田　憲司</t>
    <rPh sb="0" eb="2">
      <t>ヤスダ</t>
    </rPh>
    <rPh sb="3" eb="5">
      <t>ケンジ</t>
    </rPh>
    <phoneticPr fontId="1"/>
  </si>
  <si>
    <t>勇払郡厚真町</t>
    <rPh sb="0" eb="3">
      <t>ユウフツグン</t>
    </rPh>
    <rPh sb="3" eb="6">
      <t>アツマチョウ</t>
    </rPh>
    <phoneticPr fontId="1"/>
  </si>
  <si>
    <t>（6定点）</t>
    <phoneticPr fontId="1"/>
  </si>
  <si>
    <t>のやすべ</t>
    <phoneticPr fontId="1"/>
  </si>
  <si>
    <t>にいかっぷ</t>
    <phoneticPr fontId="1"/>
  </si>
  <si>
    <t>新冠町</t>
    <rPh sb="0" eb="2">
      <t>ニイカップ</t>
    </rPh>
    <rPh sb="2" eb="3">
      <t>マチ</t>
    </rPh>
    <phoneticPr fontId="1"/>
  </si>
  <si>
    <t>小野寺ライスファーム</t>
    <rPh sb="0" eb="3">
      <t>オノデラ</t>
    </rPh>
    <phoneticPr fontId="1"/>
  </si>
  <si>
    <t>新冠郡新冠町</t>
    <rPh sb="0" eb="2">
      <t>ニイカップ</t>
    </rPh>
    <rPh sb="2" eb="3">
      <t>グン</t>
    </rPh>
    <rPh sb="3" eb="5">
      <t>ニイカップ</t>
    </rPh>
    <rPh sb="5" eb="6">
      <t>マチ</t>
    </rPh>
    <phoneticPr fontId="1"/>
  </si>
  <si>
    <t>密播中苗</t>
  </si>
  <si>
    <t>門別</t>
    <rPh sb="0" eb="2">
      <t>モンベツ</t>
    </rPh>
    <phoneticPr fontId="1"/>
  </si>
  <si>
    <t>日高町</t>
    <rPh sb="0" eb="2">
      <t>ヒダカ</t>
    </rPh>
    <rPh sb="2" eb="3">
      <t>チョウ</t>
    </rPh>
    <phoneticPr fontId="1"/>
  </si>
  <si>
    <t>山田　清和</t>
    <rPh sb="0" eb="2">
      <t>ヤマダ</t>
    </rPh>
    <rPh sb="3" eb="5">
      <t>キヨカズ</t>
    </rPh>
    <phoneticPr fontId="1"/>
  </si>
  <si>
    <t>沙流郡日高町</t>
    <rPh sb="0" eb="3">
      <t>サルグン</t>
    </rPh>
    <rPh sb="3" eb="5">
      <t>ヒダカ</t>
    </rPh>
    <rPh sb="5" eb="6">
      <t>マチ</t>
    </rPh>
    <phoneticPr fontId="1"/>
  </si>
  <si>
    <t>みついし</t>
    <phoneticPr fontId="1"/>
  </si>
  <si>
    <t>新ひだか町</t>
    <rPh sb="0" eb="1">
      <t>シン</t>
    </rPh>
    <rPh sb="4" eb="5">
      <t>マチ</t>
    </rPh>
    <phoneticPr fontId="1"/>
  </si>
  <si>
    <t>塚本　邦広</t>
    <rPh sb="0" eb="2">
      <t>ツカモト</t>
    </rPh>
    <rPh sb="3" eb="5">
      <t>クニヒロ</t>
    </rPh>
    <phoneticPr fontId="1"/>
  </si>
  <si>
    <t>日高郡新ひだか町三石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phoneticPr fontId="1"/>
  </si>
  <si>
    <t>とうや湖</t>
    <rPh sb="3" eb="4">
      <t>ミズウミ</t>
    </rPh>
    <phoneticPr fontId="1"/>
  </si>
  <si>
    <t>壮瞥町</t>
    <rPh sb="0" eb="2">
      <t>ソウベツ</t>
    </rPh>
    <rPh sb="2" eb="3">
      <t>マチ</t>
    </rPh>
    <phoneticPr fontId="1"/>
  </si>
  <si>
    <t>石田　進</t>
    <rPh sb="0" eb="2">
      <t>イシダ</t>
    </rPh>
    <rPh sb="3" eb="4">
      <t>スス</t>
    </rPh>
    <phoneticPr fontId="1"/>
  </si>
  <si>
    <t>有珠郡壮瞥町字滝之町</t>
    <rPh sb="0" eb="3">
      <t>ウスグン</t>
    </rPh>
    <rPh sb="3" eb="5">
      <t>ソウベツ</t>
    </rPh>
    <rPh sb="5" eb="6">
      <t>マチ</t>
    </rPh>
    <rPh sb="6" eb="7">
      <t>アザ</t>
    </rPh>
    <rPh sb="7" eb="8">
      <t>タキ</t>
    </rPh>
    <rPh sb="8" eb="9">
      <t>ユキ</t>
    </rPh>
    <rPh sb="9" eb="10">
      <t>マチ</t>
    </rPh>
    <phoneticPr fontId="1"/>
  </si>
  <si>
    <t>札　幌</t>
  </si>
  <si>
    <t>北いしかり</t>
    <rPh sb="0" eb="1">
      <t>キタ</t>
    </rPh>
    <phoneticPr fontId="1"/>
  </si>
  <si>
    <t>当別町</t>
    <rPh sb="0" eb="2">
      <t>トウベツ</t>
    </rPh>
    <rPh sb="2" eb="3">
      <t>チョウ</t>
    </rPh>
    <phoneticPr fontId="1"/>
  </si>
  <si>
    <t>高田　祐輔</t>
    <rPh sb="0" eb="2">
      <t>タカダ</t>
    </rPh>
    <rPh sb="3" eb="5">
      <t>ユウスケ</t>
    </rPh>
    <phoneticPr fontId="1"/>
  </si>
  <si>
    <t>石狩郡当別町樺戸</t>
    <rPh sb="0" eb="2">
      <t>イシカリ</t>
    </rPh>
    <rPh sb="2" eb="3">
      <t>グン</t>
    </rPh>
    <rPh sb="3" eb="5">
      <t>トウベツ</t>
    </rPh>
    <rPh sb="5" eb="6">
      <t>マチ</t>
    </rPh>
    <rPh sb="6" eb="8">
      <t>カバト</t>
    </rPh>
    <phoneticPr fontId="1"/>
  </si>
  <si>
    <t>成苗</t>
  </si>
  <si>
    <t>（2定点）</t>
    <phoneticPr fontId="1"/>
  </si>
  <si>
    <t>道央</t>
  </si>
  <si>
    <t>恵庭市</t>
    <rPh sb="0" eb="3">
      <t>エニワシ</t>
    </rPh>
    <phoneticPr fontId="1"/>
  </si>
  <si>
    <t>宮田　渉</t>
    <rPh sb="0" eb="2">
      <t>ミヤタ</t>
    </rPh>
    <rPh sb="3" eb="4">
      <t>ワタル</t>
    </rPh>
    <phoneticPr fontId="1"/>
  </si>
  <si>
    <t>恵庭市島松</t>
    <rPh sb="0" eb="3">
      <t>エニワシ</t>
    </rPh>
    <rPh sb="3" eb="4">
      <t>シマ</t>
    </rPh>
    <rPh sb="4" eb="5">
      <t>マツ</t>
    </rPh>
    <phoneticPr fontId="1"/>
  </si>
  <si>
    <t>岩見沢</t>
  </si>
  <si>
    <t>いわみざわ</t>
    <phoneticPr fontId="1"/>
  </si>
  <si>
    <t>栗沢町</t>
    <rPh sb="2" eb="3">
      <t>チョウ</t>
    </rPh>
    <phoneticPr fontId="1"/>
  </si>
  <si>
    <t>中田　邦彦</t>
    <rPh sb="0" eb="2">
      <t>ナカタ</t>
    </rPh>
    <rPh sb="3" eb="5">
      <t>クニヒコ</t>
    </rPh>
    <phoneticPr fontId="1"/>
  </si>
  <si>
    <t>岩見沢市栗沢町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phoneticPr fontId="1"/>
  </si>
  <si>
    <t>岩見沢市</t>
    <rPh sb="0" eb="1">
      <t>イワ</t>
    </rPh>
    <rPh sb="1" eb="2">
      <t>ミ</t>
    </rPh>
    <rPh sb="2" eb="3">
      <t>サワ</t>
    </rPh>
    <rPh sb="3" eb="4">
      <t>シ</t>
    </rPh>
    <phoneticPr fontId="1"/>
  </si>
  <si>
    <t>奥田　一枝</t>
    <rPh sb="0" eb="2">
      <t>オクダ</t>
    </rPh>
    <rPh sb="3" eb="5">
      <t>カズエ</t>
    </rPh>
    <phoneticPr fontId="1"/>
  </si>
  <si>
    <t>岩見沢市上幌向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phoneticPr fontId="1"/>
  </si>
  <si>
    <t>（14定点）</t>
    <phoneticPr fontId="1"/>
  </si>
  <si>
    <t>きたそらち</t>
  </si>
  <si>
    <t>雨竜町</t>
    <rPh sb="2" eb="3">
      <t>チョウ</t>
    </rPh>
    <phoneticPr fontId="1"/>
  </si>
  <si>
    <t>志部谷　信治</t>
    <rPh sb="0" eb="1">
      <t>シ</t>
    </rPh>
    <rPh sb="1" eb="2">
      <t>ブ</t>
    </rPh>
    <rPh sb="2" eb="3">
      <t>タニ</t>
    </rPh>
    <rPh sb="4" eb="6">
      <t>シンジ</t>
    </rPh>
    <phoneticPr fontId="1"/>
  </si>
  <si>
    <t>雨竜郡雨竜町</t>
    <rPh sb="0" eb="3">
      <t>ウリュウグン</t>
    </rPh>
    <rPh sb="3" eb="5">
      <t>ウリュウ</t>
    </rPh>
    <rPh sb="5" eb="6">
      <t>マチ</t>
    </rPh>
    <phoneticPr fontId="1"/>
  </si>
  <si>
    <t>深川市</t>
  </si>
  <si>
    <t>深川市農業センター</t>
    <rPh sb="0" eb="3">
      <t>フカガワシ</t>
    </rPh>
    <rPh sb="3" eb="5">
      <t>ノウギョウ</t>
    </rPh>
    <phoneticPr fontId="1"/>
  </si>
  <si>
    <t>深川市一巳町</t>
    <rPh sb="0" eb="3">
      <t>フカガワシ</t>
    </rPh>
    <rPh sb="3" eb="4">
      <t>イチ</t>
    </rPh>
    <rPh sb="4" eb="5">
      <t>ミ</t>
    </rPh>
    <rPh sb="5" eb="6">
      <t>チョウ</t>
    </rPh>
    <phoneticPr fontId="1"/>
  </si>
  <si>
    <t>そらち南</t>
  </si>
  <si>
    <t>栗山</t>
  </si>
  <si>
    <t>南坂　一明</t>
  </si>
  <si>
    <t>夕張郡栗山町</t>
  </si>
  <si>
    <t>たきかわ</t>
  </si>
  <si>
    <t>滝川市</t>
    <rPh sb="2" eb="3">
      <t>シ</t>
    </rPh>
    <phoneticPr fontId="1"/>
  </si>
  <si>
    <t>佐藤　元洋</t>
  </si>
  <si>
    <t>滝川市北滝の川</t>
  </si>
  <si>
    <t>生産者・圃場変更あり</t>
  </si>
  <si>
    <t>芦別市</t>
    <rPh sb="0" eb="3">
      <t>アシベツシ</t>
    </rPh>
    <phoneticPr fontId="1"/>
  </si>
  <si>
    <t>石尾　豊</t>
    <rPh sb="0" eb="2">
      <t>イシオ</t>
    </rPh>
    <rPh sb="3" eb="4">
      <t>ユタカ</t>
    </rPh>
    <phoneticPr fontId="1"/>
  </si>
  <si>
    <t>/</t>
  </si>
  <si>
    <t>ながぬま</t>
  </si>
  <si>
    <t>長沼町</t>
    <rPh sb="0" eb="2">
      <t>ナガヌマ</t>
    </rPh>
    <rPh sb="2" eb="3">
      <t>チョウ</t>
    </rPh>
    <phoneticPr fontId="1"/>
  </si>
  <si>
    <t>㈱桃野農場</t>
    <rPh sb="1" eb="2">
      <t>モモ</t>
    </rPh>
    <rPh sb="2" eb="3">
      <t>ノ</t>
    </rPh>
    <rPh sb="3" eb="5">
      <t>ノウジョウ</t>
    </rPh>
    <phoneticPr fontId="1"/>
  </si>
  <si>
    <t>夕張郡長沼町</t>
    <rPh sb="0" eb="3">
      <t>ユウバリグン</t>
    </rPh>
    <rPh sb="3" eb="6">
      <t>ナガヌマチョウ</t>
    </rPh>
    <phoneticPr fontId="1"/>
  </si>
  <si>
    <t>ピンネ</t>
  </si>
  <si>
    <t>新十津川町</t>
    <rPh sb="0" eb="4">
      <t>シントツカワ</t>
    </rPh>
    <rPh sb="4" eb="5">
      <t>チョウ</t>
    </rPh>
    <phoneticPr fontId="1"/>
  </si>
  <si>
    <t>中西　輝充</t>
    <rPh sb="0" eb="2">
      <t>ナカニシ</t>
    </rPh>
    <rPh sb="3" eb="5">
      <t>テルミツ</t>
    </rPh>
    <phoneticPr fontId="1"/>
  </si>
  <si>
    <t>樺戸郡新十津川町</t>
    <rPh sb="0" eb="3">
      <t>カバトグン</t>
    </rPh>
    <rPh sb="3" eb="7">
      <t>シントツカワ</t>
    </rPh>
    <rPh sb="7" eb="8">
      <t>チョウ</t>
    </rPh>
    <phoneticPr fontId="1"/>
  </si>
  <si>
    <t>圃場変更あり</t>
  </si>
  <si>
    <t>新すながわ</t>
  </si>
  <si>
    <t>奈井江町</t>
    <rPh sb="3" eb="4">
      <t>チョウ</t>
    </rPh>
    <phoneticPr fontId="1"/>
  </si>
  <si>
    <t>笹木農場</t>
    <rPh sb="0" eb="2">
      <t>ササキ</t>
    </rPh>
    <rPh sb="2" eb="4">
      <t>ノウジョウ</t>
    </rPh>
    <phoneticPr fontId="1"/>
  </si>
  <si>
    <t>空知郡奈井江町白山　（圃場No.111）</t>
  </si>
  <si>
    <t>なんぽろ</t>
  </si>
  <si>
    <t>南幌町</t>
    <rPh sb="0" eb="3">
      <t>ナンポロチョウ</t>
    </rPh>
    <phoneticPr fontId="1"/>
  </si>
  <si>
    <t>本間　達也</t>
  </si>
  <si>
    <t>空知郡南幌町（(有)ライフ）</t>
    <rPh sb="0" eb="3">
      <t>ソラチグン</t>
    </rPh>
    <rPh sb="3" eb="6">
      <t>ナンポロチョウ</t>
    </rPh>
    <rPh sb="8" eb="9">
      <t>アリ</t>
    </rPh>
    <phoneticPr fontId="1"/>
  </si>
  <si>
    <t>秀正氏より達也氏へ経営移譲</t>
  </si>
  <si>
    <t>びばい</t>
  </si>
  <si>
    <t>美唄市</t>
    <rPh sb="0" eb="3">
      <t>ビバイシ</t>
    </rPh>
    <phoneticPr fontId="1"/>
  </si>
  <si>
    <t>小西　雅幸</t>
    <rPh sb="0" eb="2">
      <t>コニシ</t>
    </rPh>
    <rPh sb="3" eb="5">
      <t>マサユキ</t>
    </rPh>
    <phoneticPr fontId="1"/>
  </si>
  <si>
    <t>美唄市沼の内</t>
    <rPh sb="0" eb="3">
      <t>ビバイシ</t>
    </rPh>
    <rPh sb="3" eb="4">
      <t>ヌマ</t>
    </rPh>
    <rPh sb="5" eb="6">
      <t>ウチ</t>
    </rPh>
    <phoneticPr fontId="1"/>
  </si>
  <si>
    <t>密苗</t>
  </si>
  <si>
    <t>北いぶき</t>
  </si>
  <si>
    <t>秩父別町</t>
    <rPh sb="0" eb="3">
      <t>チップベツ</t>
    </rPh>
    <rPh sb="3" eb="4">
      <t>チョウ</t>
    </rPh>
    <phoneticPr fontId="1"/>
  </si>
  <si>
    <t>前田　史明</t>
  </si>
  <si>
    <t>雨竜郡秩父別町</t>
    <rPh sb="0" eb="3">
      <t>ウリュウグン</t>
    </rPh>
    <rPh sb="3" eb="6">
      <t>チップベツ</t>
    </rPh>
    <rPh sb="6" eb="7">
      <t>チョウ</t>
    </rPh>
    <phoneticPr fontId="1"/>
  </si>
  <si>
    <t>尋史氏より史明氏へ経営移譲</t>
  </si>
  <si>
    <t>妹背牛町</t>
    <rPh sb="3" eb="4">
      <t>チョウ</t>
    </rPh>
    <phoneticPr fontId="1"/>
  </si>
  <si>
    <t>村上　正憲</t>
    <rPh sb="0" eb="2">
      <t>ムラカミ</t>
    </rPh>
    <rPh sb="3" eb="5">
      <t>マサノリ</t>
    </rPh>
    <phoneticPr fontId="1"/>
  </si>
  <si>
    <t>雨竜郡妹背牛町</t>
    <rPh sb="0" eb="3">
      <t>ウリュウグン</t>
    </rPh>
    <rPh sb="3" eb="6">
      <t>モセウシ</t>
    </rPh>
    <rPh sb="6" eb="7">
      <t>マチ</t>
    </rPh>
    <phoneticPr fontId="1"/>
  </si>
  <si>
    <t>留　萌</t>
    <phoneticPr fontId="1"/>
  </si>
  <si>
    <t>るもい</t>
    <phoneticPr fontId="1"/>
  </si>
  <si>
    <t>羽幌町</t>
    <rPh sb="0" eb="3">
      <t>ハボロチョウ</t>
    </rPh>
    <phoneticPr fontId="1"/>
  </si>
  <si>
    <t>片山　孝幸</t>
    <rPh sb="0" eb="2">
      <t>カタヤマ</t>
    </rPh>
    <rPh sb="3" eb="5">
      <t>タカユキ</t>
    </rPh>
    <phoneticPr fontId="1"/>
  </si>
  <si>
    <t>苫前郡羽幌町字朝日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phoneticPr fontId="1"/>
  </si>
  <si>
    <t>成苗</t>
    <rPh sb="0" eb="2">
      <t>セイビョウ</t>
    </rPh>
    <phoneticPr fontId="1"/>
  </si>
  <si>
    <t>小平</t>
    <rPh sb="0" eb="2">
      <t>オビラ</t>
    </rPh>
    <phoneticPr fontId="1"/>
  </si>
  <si>
    <t>近江　基輝</t>
    <rPh sb="0" eb="1">
      <t>チカ</t>
    </rPh>
    <rPh sb="1" eb="2">
      <t>エ</t>
    </rPh>
    <rPh sb="3" eb="4">
      <t>モト</t>
    </rPh>
    <rPh sb="4" eb="5">
      <t>テル</t>
    </rPh>
    <phoneticPr fontId="1"/>
  </si>
  <si>
    <t>留萌郡小平町字沖内</t>
    <rPh sb="0" eb="2">
      <t>ルモイ</t>
    </rPh>
    <rPh sb="2" eb="3">
      <t>グン</t>
    </rPh>
    <rPh sb="3" eb="5">
      <t>オビラ</t>
    </rPh>
    <rPh sb="5" eb="6">
      <t>マチ</t>
    </rPh>
    <rPh sb="6" eb="7">
      <t>アザ</t>
    </rPh>
    <rPh sb="7" eb="8">
      <t>オキ</t>
    </rPh>
    <rPh sb="8" eb="9">
      <t>ナイ</t>
    </rPh>
    <phoneticPr fontId="1"/>
  </si>
  <si>
    <t>旭　川</t>
    <phoneticPr fontId="1"/>
  </si>
  <si>
    <t>あさひかわ</t>
  </si>
  <si>
    <t>永山町</t>
    <rPh sb="0" eb="2">
      <t>ナガヤマ</t>
    </rPh>
    <rPh sb="2" eb="3">
      <t>チョウ</t>
    </rPh>
    <phoneticPr fontId="1"/>
  </si>
  <si>
    <t>中田　正善</t>
    <rPh sb="0" eb="2">
      <t>ナカタ</t>
    </rPh>
    <rPh sb="3" eb="4">
      <t>タダ</t>
    </rPh>
    <rPh sb="4" eb="5">
      <t>ゼン</t>
    </rPh>
    <phoneticPr fontId="1"/>
  </si>
  <si>
    <t>旭川市永山町</t>
    <rPh sb="0" eb="3">
      <t>アサヒカワシ</t>
    </rPh>
    <rPh sb="3" eb="6">
      <t>ナガヤマチョウ</t>
    </rPh>
    <phoneticPr fontId="1"/>
  </si>
  <si>
    <t>成苗</t>
    <phoneticPr fontId="1"/>
  </si>
  <si>
    <t>たいせつ</t>
  </si>
  <si>
    <t>東鷹栖</t>
    <rPh sb="0" eb="1">
      <t>ヒガシ</t>
    </rPh>
    <rPh sb="1" eb="3">
      <t>タカス</t>
    </rPh>
    <phoneticPr fontId="1"/>
  </si>
  <si>
    <t>大田和樹</t>
    <rPh sb="0" eb="2">
      <t>オオタ</t>
    </rPh>
    <phoneticPr fontId="1"/>
  </si>
  <si>
    <t>旭川市東鷹栖</t>
    <rPh sb="0" eb="3">
      <t>アサヒカワシ</t>
    </rPh>
    <rPh sb="3" eb="6">
      <t>ヒガシタカス</t>
    </rPh>
    <phoneticPr fontId="1"/>
  </si>
  <si>
    <t>（10定点）</t>
    <phoneticPr fontId="1"/>
  </si>
  <si>
    <t>ふらの</t>
  </si>
  <si>
    <t>中富良野町</t>
    <rPh sb="0" eb="5">
      <t>ナカフラノチョウ</t>
    </rPh>
    <phoneticPr fontId="1"/>
  </si>
  <si>
    <t>田中　敏之</t>
    <rPh sb="0" eb="2">
      <t>タナカ</t>
    </rPh>
    <rPh sb="3" eb="5">
      <t>トシユキ</t>
    </rPh>
    <phoneticPr fontId="1"/>
  </si>
  <si>
    <t>空知郡中富良野町</t>
    <rPh sb="0" eb="3">
      <t>ソラチグン</t>
    </rPh>
    <rPh sb="3" eb="8">
      <t>ナカフラノチョウ</t>
    </rPh>
    <phoneticPr fontId="1"/>
  </si>
  <si>
    <t>富良野市</t>
    <rPh sb="0" eb="4">
      <t>フラノシ</t>
    </rPh>
    <phoneticPr fontId="1"/>
  </si>
  <si>
    <t>杉原宏幸</t>
    <rPh sb="0" eb="2">
      <t>スギハラ</t>
    </rPh>
    <rPh sb="2" eb="4">
      <t>ヒロシサチ</t>
    </rPh>
    <phoneticPr fontId="1"/>
  </si>
  <si>
    <t>中富良野町西1線</t>
    <rPh sb="0" eb="4">
      <t>ナカフラノ</t>
    </rPh>
    <rPh sb="4" eb="5">
      <t>チョウ</t>
    </rPh>
    <rPh sb="5" eb="6">
      <t>ニシ</t>
    </rPh>
    <rPh sb="7" eb="8">
      <t>セン</t>
    </rPh>
    <phoneticPr fontId="1"/>
  </si>
  <si>
    <t>東神楽</t>
  </si>
  <si>
    <t>東神楽町</t>
    <rPh sb="0" eb="1">
      <t>ヒガシ</t>
    </rPh>
    <rPh sb="1" eb="3">
      <t>カグラ</t>
    </rPh>
    <rPh sb="3" eb="4">
      <t>チョウ</t>
    </rPh>
    <phoneticPr fontId="1"/>
  </si>
  <si>
    <t>窪田　昇一</t>
    <rPh sb="0" eb="2">
      <t>クボタ</t>
    </rPh>
    <rPh sb="3" eb="5">
      <t>ショウイチ</t>
    </rPh>
    <phoneticPr fontId="1"/>
  </si>
  <si>
    <t>上川郡東神楽町</t>
    <rPh sb="3" eb="7">
      <t>ヒガシカグラチョウ</t>
    </rPh>
    <phoneticPr fontId="1"/>
  </si>
  <si>
    <t>ひがしかわ</t>
    <phoneticPr fontId="1"/>
  </si>
  <si>
    <t>東川町</t>
    <rPh sb="0" eb="2">
      <t>ヒガシカワ</t>
    </rPh>
    <rPh sb="2" eb="3">
      <t>チョウ</t>
    </rPh>
    <phoneticPr fontId="1"/>
  </si>
  <si>
    <t>小林　喜一</t>
    <rPh sb="3" eb="5">
      <t>キイチ</t>
    </rPh>
    <phoneticPr fontId="1"/>
  </si>
  <si>
    <t>上川郡東川町</t>
  </si>
  <si>
    <t>中苗</t>
    <phoneticPr fontId="1"/>
  </si>
  <si>
    <t>当麻</t>
    <phoneticPr fontId="1"/>
  </si>
  <si>
    <t>当麻町</t>
    <rPh sb="0" eb="2">
      <t>トウマ</t>
    </rPh>
    <rPh sb="2" eb="3">
      <t>チョウ</t>
    </rPh>
    <phoneticPr fontId="1"/>
  </si>
  <si>
    <t>宮崎　祐樹</t>
    <rPh sb="0" eb="2">
      <t>ミヤザキ</t>
    </rPh>
    <rPh sb="3" eb="5">
      <t>ユウキ</t>
    </rPh>
    <phoneticPr fontId="1"/>
  </si>
  <si>
    <t>上川郡当麻町北星</t>
    <rPh sb="0" eb="3">
      <t>カミカワグン</t>
    </rPh>
    <rPh sb="3" eb="5">
      <t>トウマ</t>
    </rPh>
    <rPh sb="5" eb="6">
      <t>マチ</t>
    </rPh>
    <rPh sb="6" eb="8">
      <t>ホクセイ</t>
    </rPh>
    <phoneticPr fontId="1"/>
  </si>
  <si>
    <t>ぴっぷ町</t>
  </si>
  <si>
    <t>比布町</t>
    <rPh sb="0" eb="3">
      <t>ピップチョウ</t>
    </rPh>
    <phoneticPr fontId="1"/>
  </si>
  <si>
    <t>今野　勝貴</t>
    <rPh sb="0" eb="2">
      <t>コンノ</t>
    </rPh>
    <rPh sb="3" eb="5">
      <t>カツキ</t>
    </rPh>
    <phoneticPr fontId="1"/>
  </si>
  <si>
    <t>上川郡比布町</t>
    <rPh sb="0" eb="3">
      <t>カミカワグン</t>
    </rPh>
    <rPh sb="3" eb="6">
      <t>ピップチョウ</t>
    </rPh>
    <phoneticPr fontId="1"/>
  </si>
  <si>
    <t>びえい</t>
  </si>
  <si>
    <t>美瑛町</t>
    <rPh sb="0" eb="3">
      <t>ビエイチョウ</t>
    </rPh>
    <phoneticPr fontId="1"/>
  </si>
  <si>
    <t>長谷川　勝洋</t>
    <rPh sb="0" eb="3">
      <t>ハセガワ</t>
    </rPh>
    <rPh sb="4" eb="6">
      <t>カツヒロ</t>
    </rPh>
    <phoneticPr fontId="1"/>
  </si>
  <si>
    <t>上川郡美瑛町字美瑛原野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phoneticPr fontId="1"/>
  </si>
  <si>
    <t>北ひびき</t>
    <rPh sb="0" eb="1">
      <t>キタ</t>
    </rPh>
    <phoneticPr fontId="1"/>
  </si>
  <si>
    <t>和寒町</t>
    <rPh sb="0" eb="2">
      <t>ワッサム</t>
    </rPh>
    <rPh sb="2" eb="3">
      <t>チョウ</t>
    </rPh>
    <phoneticPr fontId="1"/>
  </si>
  <si>
    <t>松本　学</t>
    <rPh sb="0" eb="2">
      <t>マツモト</t>
    </rPh>
    <rPh sb="3" eb="4">
      <t>マナ</t>
    </rPh>
    <phoneticPr fontId="1"/>
  </si>
  <si>
    <t>上川郡和寒町字中和</t>
    <rPh sb="0" eb="3">
      <t>カミカワグン</t>
    </rPh>
    <rPh sb="3" eb="6">
      <t>ワッサムチョウ</t>
    </rPh>
    <rPh sb="6" eb="7">
      <t>ジ</t>
    </rPh>
    <rPh sb="7" eb="9">
      <t>チュウワ</t>
    </rPh>
    <phoneticPr fontId="1"/>
  </si>
  <si>
    <t>圃場変更あり</t>
    <rPh sb="0" eb="4">
      <t>ホジョウヘンコウ</t>
    </rPh>
    <phoneticPr fontId="1"/>
  </si>
  <si>
    <t>40地点平均（％）</t>
    <rPh sb="2" eb="4">
      <t xml:space="preserve">チテン </t>
    </rPh>
    <rPh sb="4" eb="6">
      <t xml:space="preserve">ヘイキンチ </t>
    </rPh>
    <phoneticPr fontId="1"/>
  </si>
  <si>
    <t>令和7年度「ゆめぴりか」食味関連成分含有率定点観測分析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</si>
  <si>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r>
      <rPr>
        <sz val="12"/>
        <color theme="1"/>
        <rFont val="ＭＳ Ｐゴシック"/>
        <family val="3"/>
        <charset val="128"/>
      </rPr>
      <t>6月20日までに更新・入力</t>
    </r>
    <r>
      <rPr>
        <sz val="11"/>
        <color theme="1"/>
        <rFont val="ＭＳ Ｐゴシック"/>
        <family val="3"/>
        <charset val="128"/>
      </rPr>
      <t xml:space="preserve">
</t>
    </r>
    <r>
      <rPr>
        <b/>
        <u/>
        <sz val="9"/>
        <color theme="1"/>
        <rFont val="ＭＳ Ｐゴシック"/>
        <family val="3"/>
        <charset val="128"/>
      </rPr>
      <t>※播種日・移植期以外は前年入力値（変更あれば</t>
    </r>
    <r>
      <rPr>
        <b/>
        <u/>
        <sz val="9"/>
        <color rgb="FFFF0000"/>
        <rFont val="ＭＳ Ｐゴシック"/>
        <family val="3"/>
        <charset val="128"/>
      </rPr>
      <t>赤字</t>
    </r>
    <r>
      <rPr>
        <b/>
        <u/>
        <sz val="9"/>
        <color theme="1"/>
        <rFont val="ＭＳ Ｐゴシック"/>
        <family val="3"/>
        <charset val="128"/>
      </rPr>
      <t>にて更新願います）</t>
    </r>
    <rPh sb="1" eb="2">
      <t>ツキ</t>
    </rPh>
    <rPh sb="4" eb="5">
      <t>ニチ</t>
    </rPh>
    <rPh sb="8" eb="10">
      <t>コウシン</t>
    </rPh>
    <rPh sb="11" eb="13">
      <t>ニュウリョク</t>
    </rPh>
    <rPh sb="15" eb="18">
      <t>ハシュビ</t>
    </rPh>
    <rPh sb="19" eb="22">
      <t>イショクキ</t>
    </rPh>
    <rPh sb="22" eb="24">
      <t>イガイ</t>
    </rPh>
    <rPh sb="25" eb="27">
      <t>ゼンネン</t>
    </rPh>
    <rPh sb="27" eb="30">
      <t>ニュウリョクチ</t>
    </rPh>
    <rPh sb="31" eb="33">
      <t>ヘンコウ</t>
    </rPh>
    <rPh sb="36" eb="38">
      <t>アカジ</t>
    </rPh>
    <rPh sb="40" eb="42">
      <t>コウシン</t>
    </rPh>
    <rPh sb="42" eb="43">
      <t>ネガ</t>
    </rPh>
    <phoneticPr fontId="1"/>
  </si>
  <si>
    <t>8月29日
まで入力</t>
    <rPh sb="1" eb="2">
      <t>ツキ</t>
    </rPh>
    <rPh sb="4" eb="5">
      <t>ニチ</t>
    </rPh>
    <rPh sb="8" eb="10">
      <t>ニュウリョク</t>
    </rPh>
    <phoneticPr fontId="1"/>
  </si>
  <si>
    <t>令和7年産</t>
    <rPh sb="0" eb="2">
      <t>レイワ</t>
    </rPh>
    <rPh sb="3" eb="4">
      <t>ネン</t>
    </rPh>
    <rPh sb="4" eb="5">
      <t>サン</t>
    </rPh>
    <phoneticPr fontId="1"/>
  </si>
  <si>
    <t>中苗</t>
    <rPh sb="0" eb="2">
      <t>チュウナエ</t>
    </rPh>
    <phoneticPr fontId="1"/>
  </si>
  <si>
    <t>中苗</t>
    <rPh sb="0" eb="1">
      <t>チュウ</t>
    </rPh>
    <rPh sb="1" eb="2">
      <t>ナエ</t>
    </rPh>
    <phoneticPr fontId="3"/>
  </si>
  <si>
    <t>密播中苗</t>
    <rPh sb="0" eb="1">
      <t>ミツ</t>
    </rPh>
    <rPh sb="1" eb="2">
      <t>ハリ</t>
    </rPh>
    <rPh sb="2" eb="3">
      <t>チュウ</t>
    </rPh>
    <rPh sb="3" eb="4">
      <t>ナエ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</si>
  <si>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3"/>
  </si>
  <si>
    <t>5月17.18日</t>
    <rPh sb="1" eb="2">
      <t>ガツ</t>
    </rPh>
    <rPh sb="7" eb="8">
      <t>ニチ</t>
    </rPh>
    <phoneticPr fontId="1"/>
  </si>
  <si>
    <t>中苗</t>
    <rPh sb="0" eb="2">
      <t>チュウビョウ</t>
    </rPh>
    <phoneticPr fontId="3"/>
  </si>
  <si>
    <t>成苗ポット</t>
  </si>
  <si>
    <t>圃場変更なし</t>
    <rPh sb="0" eb="2">
      <t>ホジョウ</t>
    </rPh>
    <rPh sb="2" eb="4">
      <t>ヘンコウ</t>
    </rPh>
    <phoneticPr fontId="1"/>
  </si>
  <si>
    <t>圃場変更なし</t>
  </si>
  <si>
    <t>伊藤　大志</t>
    <rPh sb="0" eb="2">
      <t>イトウ</t>
    </rPh>
    <rPh sb="3" eb="5">
      <t>タイシ</t>
    </rPh>
    <phoneticPr fontId="1"/>
  </si>
  <si>
    <t>滝川市北滝の川</t>
    <rPh sb="0" eb="3">
      <t>タキカワシ</t>
    </rPh>
    <rPh sb="3" eb="4">
      <t>キタ</t>
    </rPh>
    <rPh sb="4" eb="5">
      <t>タキ</t>
    </rPh>
    <rPh sb="6" eb="7">
      <t>カワ</t>
    </rPh>
    <phoneticPr fontId="1"/>
  </si>
  <si>
    <t>本間　秀正</t>
    <rPh sb="0" eb="2">
      <t>ホンマ</t>
    </rPh>
    <rPh sb="3" eb="4">
      <t>ヒデ</t>
    </rPh>
    <phoneticPr fontId="1"/>
  </si>
  <si>
    <t>前田　尋史</t>
    <rPh sb="0" eb="2">
      <t>マエダ</t>
    </rPh>
    <rPh sb="3" eb="5">
      <t>ヒロシ</t>
    </rPh>
    <phoneticPr fontId="1"/>
  </si>
  <si>
    <t>成苗ポット</t>
    <rPh sb="0" eb="2">
      <t>セイビョウ</t>
    </rPh>
    <phoneticPr fontId="1"/>
  </si>
  <si>
    <t>中苗マット</t>
    <rPh sb="0" eb="1">
      <t>ナカ</t>
    </rPh>
    <rPh sb="1" eb="2">
      <t>ナエ</t>
    </rPh>
    <phoneticPr fontId="1"/>
  </si>
  <si>
    <t>中苗マット</t>
    <rPh sb="0" eb="1">
      <t>チュウ</t>
    </rPh>
    <rPh sb="1" eb="2">
      <t>ナエ</t>
    </rPh>
    <phoneticPr fontId="1"/>
  </si>
  <si>
    <t>成苗</t>
    <rPh sb="0" eb="2">
      <t>セイビョウ</t>
    </rPh>
    <phoneticPr fontId="2"/>
  </si>
  <si>
    <t>成苗ポット</t>
    <phoneticPr fontId="1"/>
  </si>
  <si>
    <t>令和6年度「ゆめぴりか」食味関連成分含有率定点観測分析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</si>
  <si>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米穀総合課</t>
    <rPh sb="0" eb="5">
      <t>ベイコクソウゴウカ</t>
    </rPh>
    <phoneticPr fontId="1"/>
  </si>
  <si>
    <t>６月１７日までに入力</t>
    <rPh sb="1" eb="2">
      <t>ツキ</t>
    </rPh>
    <rPh sb="4" eb="5">
      <t>ニチ</t>
    </rPh>
    <rPh sb="8" eb="10">
      <t>ニュウリョク</t>
    </rPh>
    <phoneticPr fontId="1"/>
  </si>
  <si>
    <t>９月３０日（目安）まで入力</t>
    <rPh sb="1" eb="2">
      <t>ツキ</t>
    </rPh>
    <rPh sb="4" eb="5">
      <t>ニチ</t>
    </rPh>
    <rPh sb="6" eb="8">
      <t>メヤス</t>
    </rPh>
    <rPh sb="11" eb="13">
      <t>ニュウリョク</t>
    </rPh>
    <phoneticPr fontId="1"/>
  </si>
  <si>
    <t>令和6年産</t>
    <rPh sb="0" eb="2">
      <t>レイワ</t>
    </rPh>
    <rPh sb="3" eb="4">
      <t>ネン</t>
    </rPh>
    <rPh sb="4" eb="5">
      <t>サン</t>
    </rPh>
    <phoneticPr fontId="1"/>
  </si>
  <si>
    <t>きたひやま</t>
    <phoneticPr fontId="1"/>
  </si>
  <si>
    <t>久遠郡せたな町北檜山区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phoneticPr fontId="1"/>
  </si>
  <si>
    <t>生産者・圃場変更</t>
    <rPh sb="0" eb="2">
      <t>セイサン</t>
    </rPh>
    <rPh sb="2" eb="3">
      <t>モノ</t>
    </rPh>
    <rPh sb="4" eb="6">
      <t>ホジョウ</t>
    </rPh>
    <rPh sb="6" eb="8">
      <t>ヘンコウ</t>
    </rPh>
    <phoneticPr fontId="1"/>
  </si>
  <si>
    <t>播種は4/28～29</t>
    <rPh sb="0" eb="2">
      <t>ハシュ</t>
    </rPh>
    <phoneticPr fontId="1"/>
  </si>
  <si>
    <t>中苗型枠</t>
    <rPh sb="0" eb="2">
      <t>チュウビョウ</t>
    </rPh>
    <rPh sb="2" eb="3">
      <t>カタ</t>
    </rPh>
    <rPh sb="3" eb="4">
      <t>ワク</t>
    </rPh>
    <phoneticPr fontId="1"/>
  </si>
  <si>
    <t>中苗</t>
    <rPh sb="0" eb="2">
      <t>チュウビョウ</t>
    </rPh>
    <phoneticPr fontId="1"/>
  </si>
  <si>
    <t>昨年と同じ圃場</t>
  </si>
  <si>
    <t>※遅れる見込み</t>
  </si>
  <si>
    <t>元の生産者・ほ場に戻した</t>
  </si>
  <si>
    <t>空知郡奈井江町</t>
    <rPh sb="0" eb="3">
      <t>ソラチグン</t>
    </rPh>
    <rPh sb="3" eb="7">
      <t>ナイエチョウ</t>
    </rPh>
    <phoneticPr fontId="1"/>
  </si>
  <si>
    <t>ほ場変更あり</t>
  </si>
  <si>
    <t>JA出荷遅く10月末になる見込み</t>
    <rPh sb="2" eb="4">
      <t>シュッカ</t>
    </rPh>
    <rPh sb="4" eb="5">
      <t>オソ</t>
    </rPh>
    <rPh sb="8" eb="10">
      <t>ガツマツ</t>
    </rPh>
    <rPh sb="13" eb="15">
      <t>ミコ</t>
    </rPh>
    <phoneticPr fontId="1"/>
  </si>
  <si>
    <t>42定点</t>
    <rPh sb="2" eb="4">
      <t>テイテン</t>
    </rPh>
    <phoneticPr fontId="1"/>
  </si>
  <si>
    <t>令和5年度「ゆめぴりか」食味関連成分含有率定点観測分析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</si>
  <si>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地区別調査ほ場設置箇所　集計</t>
    <rPh sb="0" eb="2">
      <t>チク</t>
    </rPh>
    <rPh sb="2" eb="3">
      <t>ベツ</t>
    </rPh>
    <rPh sb="3" eb="5">
      <t>チョウサ</t>
    </rPh>
    <rPh sb="6" eb="7">
      <t>ジョウ</t>
    </rPh>
    <rPh sb="7" eb="9">
      <t>セッチ</t>
    </rPh>
    <rPh sb="9" eb="11">
      <t>カショ</t>
    </rPh>
    <rPh sb="12" eb="14">
      <t>シュウケイ</t>
    </rPh>
    <phoneticPr fontId="1"/>
  </si>
  <si>
    <t>令和5年産</t>
    <rPh sb="0" eb="2">
      <t>レイワ</t>
    </rPh>
    <rPh sb="3" eb="4">
      <t>ネン</t>
    </rPh>
    <rPh sb="4" eb="5">
      <t>サン</t>
    </rPh>
    <phoneticPr fontId="1"/>
  </si>
  <si>
    <t>中苗マット</t>
  </si>
  <si>
    <t>平野　茂泰</t>
    <rPh sb="0" eb="2">
      <t>ヒラノ</t>
    </rPh>
    <rPh sb="3" eb="4">
      <t>シゲル</t>
    </rPh>
    <rPh sb="4" eb="5">
      <t>ヤスシ</t>
    </rPh>
    <phoneticPr fontId="1"/>
  </si>
  <si>
    <t>中苗マット</t>
    <rPh sb="0" eb="1">
      <t>チュウ</t>
    </rPh>
    <rPh sb="1" eb="2">
      <t>ビョウ</t>
    </rPh>
    <phoneticPr fontId="1"/>
  </si>
  <si>
    <t>中苗マット</t>
    <phoneticPr fontId="1"/>
  </si>
  <si>
    <t>中苗型枠</t>
    <rPh sb="0" eb="1">
      <t>チュウ</t>
    </rPh>
    <rPh sb="1" eb="2">
      <t>ビョウ</t>
    </rPh>
    <rPh sb="2" eb="4">
      <t>カタワク</t>
    </rPh>
    <phoneticPr fontId="1"/>
  </si>
  <si>
    <t>中苗マット</t>
    <rPh sb="0" eb="2">
      <t>チュウナエ</t>
    </rPh>
    <phoneticPr fontId="1"/>
  </si>
  <si>
    <t>密播中苗</t>
    <rPh sb="0" eb="1">
      <t>ミツ</t>
    </rPh>
    <rPh sb="1" eb="3">
      <t>ハリナカ</t>
    </rPh>
    <rPh sb="3" eb="4">
      <t>ナエ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</si>
  <si>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3"/>
  </si>
  <si>
    <t>中苗マット</t>
    <rPh sb="0" eb="2">
      <t>チュウビョウ</t>
    </rPh>
    <phoneticPr fontId="1"/>
  </si>
  <si>
    <t>栗山町</t>
    <rPh sb="2" eb="3">
      <t>チョウ</t>
    </rPh>
    <phoneticPr fontId="1"/>
  </si>
  <si>
    <t>南坂　一明</t>
    <rPh sb="0" eb="1">
      <t>ミナミ</t>
    </rPh>
    <rPh sb="1" eb="2">
      <t>サカ</t>
    </rPh>
    <rPh sb="3" eb="4">
      <t>イチ</t>
    </rPh>
    <rPh sb="4" eb="5">
      <t>アキ</t>
    </rPh>
    <phoneticPr fontId="1"/>
  </si>
  <si>
    <t>夕張郡栗山町</t>
    <rPh sb="0" eb="3">
      <t>ユウバリグン</t>
    </rPh>
    <rPh sb="3" eb="6">
      <t>クリヤマチョウ</t>
    </rPh>
    <phoneticPr fontId="1"/>
  </si>
  <si>
    <t>中苗</t>
    <rPh sb="0" eb="1">
      <t>チュウ</t>
    </rPh>
    <rPh sb="1" eb="2">
      <t>ビョウ</t>
    </rPh>
    <phoneticPr fontId="1"/>
  </si>
  <si>
    <t>令和４年度「ゆめぴりか」食味関連成分含有率定点観測分析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</si>
  <si>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令和４年産</t>
    <rPh sb="0" eb="2">
      <t>レイワ</t>
    </rPh>
    <rPh sb="3" eb="4">
      <t>ネン</t>
    </rPh>
    <rPh sb="4" eb="5">
      <t>サン</t>
    </rPh>
    <phoneticPr fontId="1"/>
  </si>
  <si>
    <t>出穂期
+30日</t>
    <rPh sb="0" eb="2">
      <t>シュッスイ</t>
    </rPh>
    <rPh sb="2" eb="3">
      <t>キ</t>
    </rPh>
    <rPh sb="7" eb="8">
      <t>ニチ</t>
    </rPh>
    <phoneticPr fontId="1"/>
  </si>
  <si>
    <t>サンプル
到着状況</t>
    <rPh sb="5" eb="7">
      <t>トウチャク</t>
    </rPh>
    <rPh sb="7" eb="9">
      <t>ジョウキョウ</t>
    </rPh>
    <phoneticPr fontId="1"/>
  </si>
  <si>
    <t>収量調査をする黄色の１１地区のみ記載下さい</t>
  </si>
  <si>
    <t>採取株数</t>
    <rPh sb="0" eb="2">
      <t>サイシュ</t>
    </rPh>
    <rPh sb="2" eb="4">
      <t>カブスウ</t>
    </rPh>
    <phoneticPr fontId="1"/>
  </si>
  <si>
    <t>株間
cm</t>
    <rPh sb="0" eb="2">
      <t>カブマ</t>
    </rPh>
    <phoneticPr fontId="2"/>
  </si>
  <si>
    <t>条間
cm</t>
    <rPh sb="0" eb="1">
      <t>ジョウ</t>
    </rPh>
    <rPh sb="1" eb="2">
      <t>アイダ</t>
    </rPh>
    <phoneticPr fontId="2"/>
  </si>
  <si>
    <t>栽植密度 
(株/m2)</t>
    <rPh sb="0" eb="2">
      <t>サイショク</t>
    </rPh>
    <rPh sb="2" eb="4">
      <t>ミツド</t>
    </rPh>
    <rPh sb="7" eb="8">
      <t>カブ</t>
    </rPh>
    <phoneticPr fontId="2"/>
  </si>
  <si>
    <t>到着日</t>
    <rPh sb="0" eb="2">
      <t>トウチャクビ</t>
    </rPh>
    <phoneticPr fontId="1"/>
  </si>
  <si>
    <t>自動計算</t>
    <rPh sb="0" eb="2">
      <t>ジドウ</t>
    </rPh>
    <rPh sb="2" eb="4">
      <t>ケイサン</t>
    </rPh>
    <phoneticPr fontId="1"/>
  </si>
  <si>
    <t>↓</t>
    <phoneticPr fontId="1"/>
  </si>
  <si>
    <t>4/27～28</t>
    <phoneticPr fontId="1"/>
  </si>
  <si>
    <t>※条間は通常33㎝です。</t>
  </si>
  <si>
    <t>※採取株数は必ず60株を収穫願います。</t>
    <rPh sb="1" eb="3">
      <t>サイシュ</t>
    </rPh>
    <rPh sb="3" eb="5">
      <t>カブスウ</t>
    </rPh>
    <rPh sb="6" eb="7">
      <t>カナラ</t>
    </rPh>
    <rPh sb="10" eb="11">
      <t>カブ</t>
    </rPh>
    <rPh sb="12" eb="14">
      <t>シュウカク</t>
    </rPh>
    <rPh sb="14" eb="15">
      <t>ネガ</t>
    </rPh>
    <phoneticPr fontId="1"/>
  </si>
  <si>
    <t>むかわ</t>
    <phoneticPr fontId="1"/>
  </si>
  <si>
    <r>
      <rPr>
        <sz val="11"/>
        <color rgb="FFFF0000"/>
        <rFont val="ＭＳ Ｐゴシック"/>
        <family val="3"/>
        <charset val="128"/>
      </rPr>
      <t>むかわ</t>
    </r>
    <r>
      <rPr>
        <sz val="11"/>
        <color theme="1"/>
        <rFont val="ＭＳ Ｐゴシック"/>
        <family val="3"/>
        <charset val="128"/>
      </rPr>
      <t>町</t>
    </r>
    <rPh sb="3" eb="4">
      <t>チョウ</t>
    </rPh>
    <phoneticPr fontId="1"/>
  </si>
  <si>
    <t>前田　拓郎</t>
    <rPh sb="0" eb="2">
      <t>マエダ</t>
    </rPh>
    <rPh sb="3" eb="5">
      <t>タクロウ</t>
    </rPh>
    <phoneticPr fontId="1"/>
  </si>
  <si>
    <t>勇払郡むかわ町二宮</t>
    <rPh sb="0" eb="3">
      <t>ユウフツグン</t>
    </rPh>
    <rPh sb="6" eb="7">
      <t>マチ</t>
    </rPh>
    <rPh sb="7" eb="9">
      <t>ニノミヤ</t>
    </rPh>
    <phoneticPr fontId="1"/>
  </si>
  <si>
    <t>姉川　規晃</t>
    <rPh sb="0" eb="1">
      <t>アネ</t>
    </rPh>
    <rPh sb="1" eb="2">
      <t>カワ</t>
    </rPh>
    <rPh sb="3" eb="4">
      <t>タダシ</t>
    </rPh>
    <rPh sb="4" eb="5">
      <t>アキラ</t>
    </rPh>
    <phoneticPr fontId="1"/>
  </si>
  <si>
    <t>富田　浩幸</t>
    <rPh sb="0" eb="2">
      <t>トミタ</t>
    </rPh>
    <rPh sb="3" eb="5">
      <t>ヒロユキ</t>
    </rPh>
    <phoneticPr fontId="1"/>
  </si>
  <si>
    <t>（5定点）</t>
    <phoneticPr fontId="1"/>
  </si>
  <si>
    <t>宮田　寛</t>
    <rPh sb="0" eb="2">
      <t>ミヤタ</t>
    </rPh>
    <rPh sb="3" eb="4">
      <t>ヒロシ</t>
    </rPh>
    <phoneticPr fontId="1"/>
  </si>
  <si>
    <t>道央</t>
    <phoneticPr fontId="1"/>
  </si>
  <si>
    <t>江別市</t>
    <rPh sb="0" eb="3">
      <t>エベツシ</t>
    </rPh>
    <phoneticPr fontId="1"/>
  </si>
  <si>
    <t>富田薫夫①</t>
  </si>
  <si>
    <t>江別市美原</t>
    <rPh sb="0" eb="3">
      <t>エベツシ</t>
    </rPh>
    <rPh sb="3" eb="5">
      <t>ミハラ</t>
    </rPh>
    <phoneticPr fontId="1"/>
  </si>
  <si>
    <t>富田薫夫②</t>
  </si>
  <si>
    <t>田中明美</t>
  </si>
  <si>
    <t>江別市中島</t>
    <rPh sb="0" eb="3">
      <t>エベツシ</t>
    </rPh>
    <rPh sb="3" eb="5">
      <t>ナカジマ</t>
    </rPh>
    <phoneticPr fontId="1"/>
  </si>
  <si>
    <t>欠番</t>
    <rPh sb="0" eb="2">
      <t>ケツバン</t>
    </rPh>
    <phoneticPr fontId="1"/>
  </si>
  <si>
    <t>道総研中央農試</t>
    <rPh sb="0" eb="1">
      <t>ドウ</t>
    </rPh>
    <rPh sb="1" eb="2">
      <t>ソウ</t>
    </rPh>
    <rPh sb="2" eb="3">
      <t>ケン</t>
    </rPh>
    <rPh sb="3" eb="5">
      <t>チュウオウ</t>
    </rPh>
    <rPh sb="5" eb="7">
      <t>ノウシ</t>
    </rPh>
    <phoneticPr fontId="1"/>
  </si>
  <si>
    <t>岩見沢市上幌向町778-17</t>
    <rPh sb="0" eb="1">
      <t>イワ</t>
    </rPh>
    <rPh sb="1" eb="2">
      <t>ミ</t>
    </rPh>
    <rPh sb="2" eb="3">
      <t>サワ</t>
    </rPh>
    <rPh sb="3" eb="4">
      <t>シ</t>
    </rPh>
    <rPh sb="4" eb="7">
      <t>カミホロムイ</t>
    </rPh>
    <rPh sb="7" eb="8">
      <t>チョウ</t>
    </rPh>
    <phoneticPr fontId="1"/>
  </si>
  <si>
    <t>（13定点）</t>
    <phoneticPr fontId="1"/>
  </si>
  <si>
    <t>南坂　明憲</t>
    <rPh sb="0" eb="1">
      <t>ミナミ</t>
    </rPh>
    <rPh sb="1" eb="2">
      <t>サカ</t>
    </rPh>
    <rPh sb="3" eb="4">
      <t>アキ</t>
    </rPh>
    <phoneticPr fontId="1"/>
  </si>
  <si>
    <t>吉田　徹</t>
    <rPh sb="0" eb="2">
      <t>ヨシダ</t>
    </rPh>
    <rPh sb="3" eb="4">
      <t>トオル</t>
    </rPh>
    <phoneticPr fontId="1"/>
  </si>
  <si>
    <t>ひがしかわ</t>
  </si>
  <si>
    <t>当麻</t>
  </si>
  <si>
    <t>↑</t>
    <phoneticPr fontId="1"/>
  </si>
  <si>
    <t>土壌断面及び収量調査の11地区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3" eb="15">
      <t>チク</t>
    </rPh>
    <phoneticPr fontId="1"/>
  </si>
  <si>
    <t>記入下さい</t>
    <rPh sb="0" eb="2">
      <t>キニュウ</t>
    </rPh>
    <rPh sb="2" eb="3">
      <t>クダ</t>
    </rPh>
    <phoneticPr fontId="1"/>
  </si>
  <si>
    <t>令和3年度「ゆめぴりか」食味関連成分含有率定点観測分析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</si>
  <si>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近隣圃場に変更</t>
    <rPh sb="0" eb="2">
      <t>キンリン</t>
    </rPh>
    <rPh sb="2" eb="4">
      <t>ホジョウ</t>
    </rPh>
    <rPh sb="5" eb="7">
      <t>ヘンコウ</t>
    </rPh>
    <phoneticPr fontId="1"/>
  </si>
  <si>
    <t>5月24～25日</t>
    <rPh sb="1" eb="2">
      <t>ガツ</t>
    </rPh>
    <rPh sb="7" eb="8">
      <t>ニチ</t>
    </rPh>
    <phoneticPr fontId="1"/>
  </si>
  <si>
    <t>鵡川町</t>
    <rPh sb="0" eb="3">
      <t>ムカワチョウ</t>
    </rPh>
    <phoneticPr fontId="1"/>
  </si>
  <si>
    <t>毛利　武</t>
    <rPh sb="0" eb="2">
      <t>モウリ</t>
    </rPh>
    <rPh sb="3" eb="4">
      <t>タケシ</t>
    </rPh>
    <phoneticPr fontId="1"/>
  </si>
  <si>
    <t>中苗（密播）</t>
    <rPh sb="0" eb="2">
      <t>チュウビョウ</t>
    </rPh>
    <rPh sb="3" eb="4">
      <t>ミツ</t>
    </rPh>
    <rPh sb="4" eb="5">
      <t>ハリ</t>
    </rPh>
    <phoneticPr fontId="1"/>
  </si>
  <si>
    <t>小野寺　誠</t>
    <rPh sb="0" eb="3">
      <t>オノデラ</t>
    </rPh>
    <rPh sb="4" eb="5">
      <t>マコト</t>
    </rPh>
    <phoneticPr fontId="1"/>
  </si>
  <si>
    <t>普及Cは新ひだか町7/29。JA担当者7/27回答。</t>
  </si>
  <si>
    <t>高田　修二</t>
    <rPh sb="0" eb="2">
      <t>タカダ</t>
    </rPh>
    <rPh sb="3" eb="5">
      <t>シュウジ</t>
    </rPh>
    <phoneticPr fontId="1"/>
  </si>
  <si>
    <t>（2定点）</t>
  </si>
  <si>
    <t>きたそらち</t>
    <phoneticPr fontId="1"/>
  </si>
  <si>
    <t>深川市</t>
    <phoneticPr fontId="1"/>
  </si>
  <si>
    <t>そらち南</t>
    <phoneticPr fontId="1"/>
  </si>
  <si>
    <t>たきかわ</t>
    <phoneticPr fontId="1"/>
  </si>
  <si>
    <t>ながぬま</t>
    <phoneticPr fontId="1"/>
  </si>
  <si>
    <t>ピンネ</t>
    <phoneticPr fontId="1"/>
  </si>
  <si>
    <t>新すながわ</t>
    <phoneticPr fontId="1"/>
  </si>
  <si>
    <t>なんぽろ</t>
    <phoneticPr fontId="1"/>
  </si>
  <si>
    <t>びばい</t>
    <phoneticPr fontId="1"/>
  </si>
  <si>
    <t>村上　和隆</t>
    <rPh sb="0" eb="2">
      <t>ムラカミ</t>
    </rPh>
    <rPh sb="3" eb="5">
      <t>カズタカ</t>
    </rPh>
    <phoneticPr fontId="1"/>
  </si>
  <si>
    <t>オロロン</t>
    <phoneticPr fontId="1"/>
  </si>
  <si>
    <t>南るもい</t>
    <phoneticPr fontId="1"/>
  </si>
  <si>
    <t>小平町</t>
    <rPh sb="0" eb="2">
      <t>オビラ</t>
    </rPh>
    <rPh sb="2" eb="3">
      <t>チョウ</t>
    </rPh>
    <phoneticPr fontId="1"/>
  </si>
  <si>
    <t>留萌郡小平町</t>
    <rPh sb="0" eb="2">
      <t>ルモイ</t>
    </rPh>
    <rPh sb="2" eb="3">
      <t>グン</t>
    </rPh>
    <rPh sb="3" eb="5">
      <t>オビラ</t>
    </rPh>
    <rPh sb="5" eb="6">
      <t>マチ</t>
    </rPh>
    <phoneticPr fontId="1"/>
  </si>
  <si>
    <t>あさひかわ</t>
    <phoneticPr fontId="1"/>
  </si>
  <si>
    <t>たいせつ</t>
    <phoneticPr fontId="1"/>
  </si>
  <si>
    <t>池田　政博</t>
    <rPh sb="0" eb="2">
      <t>イケダ</t>
    </rPh>
    <rPh sb="3" eb="4">
      <t>セイ</t>
    </rPh>
    <rPh sb="4" eb="5">
      <t>ヒロシ</t>
    </rPh>
    <phoneticPr fontId="1"/>
  </si>
  <si>
    <t>ふらの</t>
    <phoneticPr fontId="1"/>
  </si>
  <si>
    <t>小林　竜太</t>
    <rPh sb="0" eb="2">
      <t>コバヤシ</t>
    </rPh>
    <rPh sb="3" eb="5">
      <t>リュウタ</t>
    </rPh>
    <phoneticPr fontId="1"/>
  </si>
  <si>
    <t>富良野市東学田二区</t>
    <rPh sb="0" eb="4">
      <t>フラノシ</t>
    </rPh>
    <rPh sb="4" eb="5">
      <t>ヒガシ</t>
    </rPh>
    <rPh sb="5" eb="7">
      <t>ガクデン</t>
    </rPh>
    <rPh sb="7" eb="9">
      <t>ニク</t>
    </rPh>
    <phoneticPr fontId="1"/>
  </si>
  <si>
    <t>東神楽</t>
    <phoneticPr fontId="1"/>
  </si>
  <si>
    <t>上川郡東川町</t>
    <phoneticPr fontId="1"/>
  </si>
  <si>
    <t>ぴっぷ町</t>
    <phoneticPr fontId="1"/>
  </si>
  <si>
    <t>上西　豊</t>
    <rPh sb="0" eb="1">
      <t>ウエ</t>
    </rPh>
    <rPh sb="1" eb="2">
      <t>ザイ</t>
    </rPh>
    <rPh sb="3" eb="4">
      <t>ユタカ</t>
    </rPh>
    <phoneticPr fontId="1"/>
  </si>
  <si>
    <t>びえい</t>
    <phoneticPr fontId="1"/>
  </si>
  <si>
    <t>令和２年度「ゆめぴりか」食味関連成分含有率定点観測分析</t>
    <rPh sb="0" eb="2">
      <t>レイワ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</si>
  <si>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勇払郡鵡川町二宮</t>
    <rPh sb="0" eb="3">
      <t>ユウフツグン</t>
    </rPh>
    <rPh sb="3" eb="5">
      <t>ムカワ</t>
    </rPh>
    <rPh sb="5" eb="6">
      <t>マチ</t>
    </rPh>
    <rPh sb="6" eb="8">
      <t>ニノミヤ</t>
    </rPh>
    <phoneticPr fontId="1"/>
  </si>
  <si>
    <t>吉原　由明</t>
    <rPh sb="0" eb="2">
      <t>ヨシワラ</t>
    </rPh>
    <rPh sb="3" eb="5">
      <t>ヨシアキ</t>
    </rPh>
    <phoneticPr fontId="1"/>
  </si>
  <si>
    <t>今田　邦彦</t>
    <rPh sb="0" eb="2">
      <t>イマダ</t>
    </rPh>
    <rPh sb="3" eb="5">
      <t>クニヒコ</t>
    </rPh>
    <phoneticPr fontId="1"/>
  </si>
  <si>
    <t>美唄市北美唄</t>
    <rPh sb="0" eb="3">
      <t>ビバイシ</t>
    </rPh>
    <rPh sb="3" eb="4">
      <t>キタ</t>
    </rPh>
    <rPh sb="4" eb="6">
      <t>ビバイ</t>
    </rPh>
    <phoneticPr fontId="1"/>
  </si>
  <si>
    <t>井上　透</t>
    <rPh sb="0" eb="2">
      <t>イノウエ</t>
    </rPh>
    <rPh sb="3" eb="4">
      <t>トウ</t>
    </rPh>
    <phoneticPr fontId="1"/>
  </si>
  <si>
    <t>富良野市西扇山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</si>
  <si>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令和元年度「ゆめぴりか」食味関連成分含有率定点観測分析</t>
    <rPh sb="0" eb="2">
      <t>レイワ</t>
    </rPh>
    <rPh sb="2" eb="3">
      <t>ガン</t>
    </rPh>
    <rPh sb="3" eb="4">
      <t>ネン</t>
    </rPh>
    <rPh sb="4" eb="5">
      <t>ド</t>
    </rPh>
    <rPh sb="12" eb="14">
      <t>ショクミ</t>
    </rPh>
    <rPh sb="14" eb="16">
      <t>カンレン</t>
    </rPh>
    <rPh sb="16" eb="18">
      <t>セイブン</t>
    </rPh>
    <rPh sb="18" eb="20">
      <t>ガンユウ</t>
    </rPh>
    <rPh sb="20" eb="21">
      <t>リツ</t>
    </rPh>
    <rPh sb="21" eb="23">
      <t>テイテン</t>
    </rPh>
    <rPh sb="23" eb="25">
      <t>カンソク</t>
    </rPh>
    <rPh sb="25" eb="27">
      <t>ブンセキ</t>
    </rPh>
    <phoneticPr fontId="1"/>
  </si>
  <si>
    <t>北海道米の新たなブランド形成協議会</t>
    <rPh sb="0" eb="3">
      <t>ホッカイドウ</t>
    </rPh>
    <rPh sb="3" eb="4">
      <t>マイ</t>
    </rPh>
    <rPh sb="5" eb="6">
      <t>アラ</t>
    </rPh>
    <rPh sb="12" eb="14">
      <t>ケイセイ</t>
    </rPh>
    <rPh sb="14" eb="17">
      <t>キョウギカイ</t>
    </rPh>
    <phoneticPr fontId="1"/>
  </si>
  <si>
    <t>※青字～未更新、青字以外～R1更新</t>
    <rPh sb="1" eb="2">
      <t>アオ</t>
    </rPh>
    <rPh sb="2" eb="3">
      <t>ジ</t>
    </rPh>
    <rPh sb="4" eb="5">
      <t>ミ</t>
    </rPh>
    <rPh sb="5" eb="7">
      <t>コウシン</t>
    </rPh>
    <rPh sb="8" eb="9">
      <t>アオ</t>
    </rPh>
    <rPh sb="9" eb="10">
      <t>ジ</t>
    </rPh>
    <rPh sb="10" eb="12">
      <t>イガイ</t>
    </rPh>
    <rPh sb="15" eb="17">
      <t>コウシン</t>
    </rPh>
    <phoneticPr fontId="1"/>
  </si>
  <si>
    <t>気象庁地域気象観測システム
（アメダス）設置住所</t>
    <rPh sb="0" eb="3">
      <t>キショウチョウ</t>
    </rPh>
    <phoneticPr fontId="1"/>
  </si>
  <si>
    <t>電話番号</t>
    <rPh sb="0" eb="2">
      <t>デンワ</t>
    </rPh>
    <rPh sb="2" eb="4">
      <t>バンゴウ</t>
    </rPh>
    <phoneticPr fontId="1"/>
  </si>
  <si>
    <t>出穂期+30日</t>
    <rPh sb="0" eb="2">
      <t>シュッスイ</t>
    </rPh>
    <rPh sb="2" eb="3">
      <t>キ</t>
    </rPh>
    <rPh sb="6" eb="7">
      <t>ニチ</t>
    </rPh>
    <phoneticPr fontId="1"/>
  </si>
  <si>
    <t>瀬棚郡今金町今金</t>
    <rPh sb="0" eb="2">
      <t>セタナ</t>
    </rPh>
    <rPh sb="2" eb="3">
      <t>グン</t>
    </rPh>
    <phoneticPr fontId="1"/>
  </si>
  <si>
    <t>0137-82-2239</t>
    <phoneticPr fontId="1"/>
  </si>
  <si>
    <t>久遠郡せたな町瀬棚区本町</t>
    <rPh sb="0" eb="1">
      <t>ヒサ</t>
    </rPh>
    <rPh sb="1" eb="2">
      <t>トオ</t>
    </rPh>
    <rPh sb="2" eb="3">
      <t>グン</t>
    </rPh>
    <phoneticPr fontId="1"/>
  </si>
  <si>
    <t>0137-84-5178</t>
    <phoneticPr fontId="1"/>
  </si>
  <si>
    <t>久遠郡せたな町北檜山区徳島</t>
    <rPh sb="0" eb="1">
      <t>ヒサ</t>
    </rPh>
    <rPh sb="1" eb="2">
      <t>トオ</t>
    </rPh>
    <rPh sb="2" eb="3">
      <t>グン</t>
    </rPh>
    <rPh sb="6" eb="7">
      <t>チョウ</t>
    </rPh>
    <rPh sb="7" eb="10">
      <t>キタヒヤマ</t>
    </rPh>
    <rPh sb="10" eb="11">
      <t>ク</t>
    </rPh>
    <rPh sb="11" eb="13">
      <t>トクシマ</t>
    </rPh>
    <phoneticPr fontId="1"/>
  </si>
  <si>
    <t>茅部郡森町姫川</t>
    <rPh sb="0" eb="2">
      <t>カヤベ</t>
    </rPh>
    <rPh sb="2" eb="3">
      <t>グン</t>
    </rPh>
    <rPh sb="3" eb="5">
      <t>モリマチ</t>
    </rPh>
    <rPh sb="5" eb="6">
      <t>ヒメ</t>
    </rPh>
    <rPh sb="6" eb="7">
      <t>カワ</t>
    </rPh>
    <phoneticPr fontId="1"/>
  </si>
  <si>
    <t>01374-5-2301</t>
    <phoneticPr fontId="1"/>
  </si>
  <si>
    <t>岩内郡共和町南幌似</t>
    <rPh sb="0" eb="3">
      <t>イワナイグン</t>
    </rPh>
    <phoneticPr fontId="1"/>
  </si>
  <si>
    <t>0135-73-2603</t>
    <phoneticPr fontId="1"/>
  </si>
  <si>
    <t>岩内郡共和町南幌似1845</t>
    <rPh sb="0" eb="3">
      <t>イワナイグン</t>
    </rPh>
    <rPh sb="3" eb="5">
      <t>キョウワ</t>
    </rPh>
    <rPh sb="5" eb="6">
      <t>マチ</t>
    </rPh>
    <rPh sb="6" eb="8">
      <t>ナンポロ</t>
    </rPh>
    <rPh sb="8" eb="9">
      <t>ニ</t>
    </rPh>
    <phoneticPr fontId="1"/>
  </si>
  <si>
    <t>磯谷郡蘭越町蘭越</t>
    <rPh sb="0" eb="3">
      <t>イソヤグン</t>
    </rPh>
    <rPh sb="3" eb="5">
      <t>ランコシ</t>
    </rPh>
    <phoneticPr fontId="1"/>
  </si>
  <si>
    <t>0136-57-5862</t>
    <phoneticPr fontId="1"/>
  </si>
  <si>
    <t>磯谷郡蘭越町蘭越町778番地</t>
    <rPh sb="0" eb="3">
      <t>イソヤグン</t>
    </rPh>
    <rPh sb="3" eb="6">
      <t>ランコシチョウ</t>
    </rPh>
    <rPh sb="6" eb="8">
      <t>ランコシ</t>
    </rPh>
    <rPh sb="8" eb="9">
      <t>マチ</t>
    </rPh>
    <rPh sb="12" eb="14">
      <t>バンチ</t>
    </rPh>
    <phoneticPr fontId="1"/>
  </si>
  <si>
    <t>－－－－</t>
    <phoneticPr fontId="1"/>
  </si>
  <si>
    <t>0136-44-3241</t>
    <phoneticPr fontId="1"/>
  </si>
  <si>
    <t>虻田郡ニセコ町字宮田175番地</t>
    <rPh sb="0" eb="3">
      <t>アブタグン</t>
    </rPh>
    <rPh sb="6" eb="7">
      <t>マチ</t>
    </rPh>
    <rPh sb="7" eb="8">
      <t>アザ</t>
    </rPh>
    <rPh sb="8" eb="10">
      <t>ミヤタ</t>
    </rPh>
    <rPh sb="13" eb="15">
      <t>バンチ</t>
    </rPh>
    <phoneticPr fontId="1"/>
  </si>
  <si>
    <t>勇払郡厚真町朝日</t>
    <rPh sb="0" eb="3">
      <t>ユウフツグン</t>
    </rPh>
    <rPh sb="3" eb="6">
      <t>アツマチョウ</t>
    </rPh>
    <rPh sb="6" eb="8">
      <t>アサヒ</t>
    </rPh>
    <phoneticPr fontId="1"/>
  </si>
  <si>
    <t>0145-27-2966</t>
    <phoneticPr fontId="1"/>
  </si>
  <si>
    <t>勇払郡厚真町字宇隆</t>
    <rPh sb="0" eb="3">
      <t>ユウフツグン</t>
    </rPh>
    <rPh sb="3" eb="6">
      <t>アツマチョウ</t>
    </rPh>
    <rPh sb="6" eb="7">
      <t>アザ</t>
    </rPh>
    <rPh sb="7" eb="8">
      <t>ウ</t>
    </rPh>
    <rPh sb="8" eb="9">
      <t>タカシ</t>
    </rPh>
    <phoneticPr fontId="1"/>
  </si>
  <si>
    <t>中苗型枠</t>
    <rPh sb="0" eb="1">
      <t>チュウ</t>
    </rPh>
    <rPh sb="1" eb="2">
      <t>ナエ</t>
    </rPh>
    <rPh sb="2" eb="4">
      <t>カタワク</t>
    </rPh>
    <phoneticPr fontId="1"/>
  </si>
  <si>
    <t>出穂日は7/23</t>
    <rPh sb="0" eb="2">
      <t>シュッスイ</t>
    </rPh>
    <rPh sb="2" eb="3">
      <t>ビ</t>
    </rPh>
    <phoneticPr fontId="1"/>
  </si>
  <si>
    <t>勇払郡むかわ町豊城</t>
    <rPh sb="0" eb="3">
      <t>ユウフツグン</t>
    </rPh>
    <phoneticPr fontId="1"/>
  </si>
  <si>
    <t>0145-42-4341</t>
    <phoneticPr fontId="1"/>
  </si>
  <si>
    <t>勇払郡むかわ町二宮319</t>
    <rPh sb="0" eb="3">
      <t>ユウフツグン</t>
    </rPh>
    <rPh sb="6" eb="7">
      <t>マチ</t>
    </rPh>
    <rPh sb="7" eb="9">
      <t>ニノミヤ</t>
    </rPh>
    <phoneticPr fontId="1"/>
  </si>
  <si>
    <t>7月下旬</t>
    <rPh sb="1" eb="2">
      <t>ガツ</t>
    </rPh>
    <rPh sb="2" eb="4">
      <t>ゲジュン</t>
    </rPh>
    <phoneticPr fontId="1"/>
  </si>
  <si>
    <t>新冠郡新冠町新和</t>
    <rPh sb="0" eb="2">
      <t>ニイカップ</t>
    </rPh>
    <rPh sb="2" eb="3">
      <t>グン</t>
    </rPh>
    <rPh sb="3" eb="5">
      <t>ニイカップ</t>
    </rPh>
    <rPh sb="5" eb="6">
      <t>マチ</t>
    </rPh>
    <rPh sb="6" eb="8">
      <t>シンワ</t>
    </rPh>
    <phoneticPr fontId="1"/>
  </si>
  <si>
    <t>小野寺誠</t>
    <rPh sb="0" eb="3">
      <t>オノデラ</t>
    </rPh>
    <rPh sb="3" eb="4">
      <t>マコト</t>
    </rPh>
    <phoneticPr fontId="1"/>
  </si>
  <si>
    <t>0146-47-5228</t>
    <phoneticPr fontId="1"/>
  </si>
  <si>
    <t>新冠郡新冠町字美宇</t>
    <rPh sb="0" eb="2">
      <t>ニイカップ</t>
    </rPh>
    <rPh sb="2" eb="3">
      <t>グン</t>
    </rPh>
    <rPh sb="3" eb="5">
      <t>ニイカップ</t>
    </rPh>
    <rPh sb="5" eb="6">
      <t>マチ</t>
    </rPh>
    <rPh sb="6" eb="7">
      <t>アザ</t>
    </rPh>
    <rPh sb="7" eb="8">
      <t>ビ</t>
    </rPh>
    <rPh sb="8" eb="9">
      <t>ウ</t>
    </rPh>
    <phoneticPr fontId="1"/>
  </si>
  <si>
    <t>門別町</t>
    <rPh sb="0" eb="2">
      <t>モンベツ</t>
    </rPh>
    <rPh sb="2" eb="3">
      <t>チョウ</t>
    </rPh>
    <phoneticPr fontId="1"/>
  </si>
  <si>
    <t>－－－－</t>
  </si>
  <si>
    <t>01456-5-2486</t>
    <phoneticPr fontId="1"/>
  </si>
  <si>
    <t>沙流郡日高町字豊田</t>
    <rPh sb="0" eb="3">
      <t>サルグン</t>
    </rPh>
    <rPh sb="3" eb="5">
      <t>ヒダカ</t>
    </rPh>
    <rPh sb="5" eb="6">
      <t>マチ</t>
    </rPh>
    <rPh sb="6" eb="7">
      <t>アザ</t>
    </rPh>
    <rPh sb="7" eb="9">
      <t>トヨタ</t>
    </rPh>
    <phoneticPr fontId="1"/>
  </si>
  <si>
    <t>穂揃い8/2</t>
    <rPh sb="0" eb="1">
      <t>ホ</t>
    </rPh>
    <rPh sb="1" eb="2">
      <t>ソロ</t>
    </rPh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</si>
  <si>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1">
      <t>ビ</t>
    </rPh>
    <rPh sb="11" eb="12">
      <t>ノ</t>
    </rPh>
    <rPh sb="12" eb="13">
      <t>ワ</t>
    </rPh>
    <phoneticPr fontId="1"/>
  </si>
  <si>
    <t>0146-35-3336</t>
    <phoneticPr fontId="1"/>
  </si>
  <si>
    <t>日高郡新ひだか町三石美野和</t>
    <rPh sb="0" eb="2">
      <t>ヒダカ</t>
    </rPh>
    <rPh sb="2" eb="3">
      <t>グン</t>
    </rPh>
    <rPh sb="3" eb="4">
      <t>シン</t>
    </rPh>
    <rPh sb="7" eb="8">
      <t>マチ</t>
    </rPh>
    <rPh sb="8" eb="10">
      <t>ミツイシ</t>
    </rPh>
    <rPh sb="10" eb="12">
      <t>ミノ</t>
    </rPh>
    <rPh sb="12" eb="13">
      <t>ワ</t>
    </rPh>
    <phoneticPr fontId="1"/>
  </si>
  <si>
    <t>0142-66-2425</t>
    <phoneticPr fontId="1"/>
  </si>
  <si>
    <t>090-8272-9653</t>
  </si>
  <si>
    <t>生産者変更なし</t>
    <rPh sb="0" eb="3">
      <t>セイサンシャ</t>
    </rPh>
    <rPh sb="3" eb="5">
      <t>ヘンコウ</t>
    </rPh>
    <phoneticPr fontId="1"/>
  </si>
  <si>
    <t>恵庭市</t>
    <rPh sb="2" eb="3">
      <t>シ</t>
    </rPh>
    <phoneticPr fontId="1"/>
  </si>
  <si>
    <t>恵庭市下島松</t>
  </si>
  <si>
    <t>0123-36-8917</t>
  </si>
  <si>
    <t>恵庭市島松仲町</t>
    <rPh sb="0" eb="3">
      <t>エニワシ</t>
    </rPh>
    <rPh sb="3" eb="4">
      <t>シマ</t>
    </rPh>
    <rPh sb="4" eb="5">
      <t>マツ</t>
    </rPh>
    <rPh sb="5" eb="6">
      <t>ナカ</t>
    </rPh>
    <rPh sb="6" eb="7">
      <t>マチ</t>
    </rPh>
    <phoneticPr fontId="1"/>
  </si>
  <si>
    <t>宮川課長</t>
    <rPh sb="0" eb="2">
      <t>ミヤカワ</t>
    </rPh>
    <rPh sb="2" eb="4">
      <t>カチョウ</t>
    </rPh>
    <phoneticPr fontId="1"/>
  </si>
  <si>
    <t>栗沢</t>
    <phoneticPr fontId="1"/>
  </si>
  <si>
    <t>0126-44-2039</t>
    <phoneticPr fontId="1"/>
  </si>
  <si>
    <t>岩見沢市栗沢町上幌2355</t>
    <rPh sb="0" eb="1">
      <t>イワ</t>
    </rPh>
    <rPh sb="1" eb="2">
      <t>ミ</t>
    </rPh>
    <rPh sb="2" eb="3">
      <t>サワ</t>
    </rPh>
    <rPh sb="3" eb="4">
      <t>シ</t>
    </rPh>
    <rPh sb="4" eb="7">
      <t>クリサワチョウ</t>
    </rPh>
    <rPh sb="7" eb="8">
      <t>ウエ</t>
    </rPh>
    <rPh sb="8" eb="9">
      <t>ホロ</t>
    </rPh>
    <phoneticPr fontId="1"/>
  </si>
  <si>
    <t>江戸調査役</t>
    <rPh sb="0" eb="2">
      <t>エド</t>
    </rPh>
    <rPh sb="2" eb="5">
      <t>チョウサヤク</t>
    </rPh>
    <phoneticPr fontId="1"/>
  </si>
  <si>
    <t>0126-26-3461</t>
    <phoneticPr fontId="1"/>
  </si>
  <si>
    <t>0125-77-2332</t>
    <phoneticPr fontId="1"/>
  </si>
  <si>
    <t>雨竜郡雨竜町第２町内の３（ＪＡ雨竜支所営農課）</t>
    <rPh sb="0" eb="3">
      <t>ウリュウグン</t>
    </rPh>
    <rPh sb="3" eb="5">
      <t>ウリュウ</t>
    </rPh>
    <rPh sb="5" eb="6">
      <t>マチ</t>
    </rPh>
    <rPh sb="6" eb="7">
      <t>ダイ</t>
    </rPh>
    <rPh sb="8" eb="10">
      <t>チョウナイ</t>
    </rPh>
    <rPh sb="15" eb="17">
      <t>ウリュウ</t>
    </rPh>
    <rPh sb="17" eb="19">
      <t>シショ</t>
    </rPh>
    <rPh sb="19" eb="21">
      <t>エイノウ</t>
    </rPh>
    <rPh sb="21" eb="22">
      <t>カ</t>
    </rPh>
    <phoneticPr fontId="1"/>
  </si>
  <si>
    <t>米穀課　松田さん</t>
    <rPh sb="0" eb="2">
      <t>ベイコク</t>
    </rPh>
    <rPh sb="2" eb="3">
      <t>カ</t>
    </rPh>
    <rPh sb="4" eb="6">
      <t>マツダ</t>
    </rPh>
    <phoneticPr fontId="1"/>
  </si>
  <si>
    <t>深川市一巳町一巳</t>
    <phoneticPr fontId="1"/>
  </si>
  <si>
    <t>0164-26-0132</t>
    <phoneticPr fontId="1"/>
  </si>
  <si>
    <t>深川市一巳町北水源（℡：ＪＡ米穀課）</t>
    <rPh sb="0" eb="3">
      <t>フカガワシ</t>
    </rPh>
    <rPh sb="3" eb="4">
      <t>イチ</t>
    </rPh>
    <rPh sb="4" eb="5">
      <t>ミ</t>
    </rPh>
    <rPh sb="5" eb="6">
      <t>チョウ</t>
    </rPh>
    <rPh sb="6" eb="7">
      <t>キタ</t>
    </rPh>
    <rPh sb="7" eb="9">
      <t>スイゲン</t>
    </rPh>
    <rPh sb="14" eb="16">
      <t>ベイコク</t>
    </rPh>
    <rPh sb="16" eb="17">
      <t>カ</t>
    </rPh>
    <phoneticPr fontId="1"/>
  </si>
  <si>
    <t>090-8907-1261</t>
    <phoneticPr fontId="1"/>
  </si>
  <si>
    <t>夕張郡栗山町字北学田</t>
    <rPh sb="0" eb="3">
      <t>ユウバリグン</t>
    </rPh>
    <rPh sb="3" eb="6">
      <t>クリヤマチョウ</t>
    </rPh>
    <rPh sb="6" eb="7">
      <t>アザ</t>
    </rPh>
    <rPh sb="7" eb="8">
      <t>キタ</t>
    </rPh>
    <rPh sb="8" eb="10">
      <t>ガクデン</t>
    </rPh>
    <phoneticPr fontId="1"/>
  </si>
  <si>
    <t>宮本さん</t>
    <rPh sb="0" eb="2">
      <t>ミヤモト</t>
    </rPh>
    <phoneticPr fontId="1"/>
  </si>
  <si>
    <t>生産者変更なし</t>
    <rPh sb="0" eb="5">
      <t>セイサンシャヘンコウ</t>
    </rPh>
    <phoneticPr fontId="1"/>
  </si>
  <si>
    <t>滝川市南滝の川</t>
    <phoneticPr fontId="1"/>
  </si>
  <si>
    <t>0125-23-4408</t>
    <phoneticPr fontId="1"/>
  </si>
  <si>
    <t>滝川市北滝の川1723　　※同じほ場です</t>
    <rPh sb="0" eb="3">
      <t>タキカワシ</t>
    </rPh>
    <rPh sb="3" eb="4">
      <t>キタ</t>
    </rPh>
    <rPh sb="4" eb="5">
      <t>タキ</t>
    </rPh>
    <rPh sb="6" eb="7">
      <t>カワ</t>
    </rPh>
    <rPh sb="14" eb="15">
      <t>オナ</t>
    </rPh>
    <rPh sb="17" eb="18">
      <t>ジョウ</t>
    </rPh>
    <phoneticPr fontId="1"/>
  </si>
  <si>
    <t>確認中</t>
    <rPh sb="0" eb="3">
      <t>カクニンチュウ</t>
    </rPh>
    <phoneticPr fontId="1"/>
  </si>
  <si>
    <t>芦別市北1条東</t>
    <rPh sb="0" eb="3">
      <t>アシベツシ</t>
    </rPh>
    <rPh sb="3" eb="4">
      <t>キタ</t>
    </rPh>
    <rPh sb="5" eb="6">
      <t>ジョウ</t>
    </rPh>
    <rPh sb="6" eb="7">
      <t>ヒガシ</t>
    </rPh>
    <phoneticPr fontId="1"/>
  </si>
  <si>
    <t>石尾　　豊</t>
    <rPh sb="0" eb="2">
      <t>イシオ</t>
    </rPh>
    <rPh sb="4" eb="5">
      <t>ユタカ</t>
    </rPh>
    <phoneticPr fontId="1"/>
  </si>
  <si>
    <t>0124-22-3095</t>
  </si>
  <si>
    <t>芦別市本町１６７-１１</t>
    <rPh sb="0" eb="3">
      <t>アシベツシ</t>
    </rPh>
    <rPh sb="3" eb="5">
      <t>ホンチョウ</t>
    </rPh>
    <phoneticPr fontId="1"/>
  </si>
  <si>
    <t>夕張郡長沼町本町区</t>
    <rPh sb="0" eb="3">
      <t>ユウバリグン</t>
    </rPh>
    <rPh sb="8" eb="9">
      <t>ク</t>
    </rPh>
    <phoneticPr fontId="1"/>
  </si>
  <si>
    <t>0123-88-3863</t>
    <phoneticPr fontId="1"/>
  </si>
  <si>
    <t>夕張郡長沼町10区</t>
    <rPh sb="0" eb="3">
      <t>ユウバリグン</t>
    </rPh>
    <rPh sb="3" eb="6">
      <t>ナガヌマチョウ</t>
    </rPh>
    <rPh sb="8" eb="9">
      <t>ク</t>
    </rPh>
    <phoneticPr fontId="1"/>
  </si>
  <si>
    <t>樺戸郡新十津川町吉野</t>
    <rPh sb="0" eb="3">
      <t>カバトグン</t>
    </rPh>
    <rPh sb="3" eb="7">
      <t>シントツカワ</t>
    </rPh>
    <rPh sb="7" eb="8">
      <t>マチ</t>
    </rPh>
    <rPh sb="8" eb="10">
      <t>ヨシノ</t>
    </rPh>
    <phoneticPr fontId="1"/>
  </si>
  <si>
    <t>0125-73-2386</t>
    <phoneticPr fontId="1"/>
  </si>
  <si>
    <t>樺戸郡新十津川町字学園31-16</t>
    <rPh sb="0" eb="3">
      <t>カバトグン</t>
    </rPh>
    <rPh sb="3" eb="7">
      <t>シントツカワ</t>
    </rPh>
    <rPh sb="7" eb="8">
      <t>チョウ</t>
    </rPh>
    <rPh sb="8" eb="9">
      <t>アザ</t>
    </rPh>
    <rPh sb="9" eb="11">
      <t>ガクエン</t>
    </rPh>
    <phoneticPr fontId="1"/>
  </si>
  <si>
    <t>米穀課　狩野さん</t>
    <rPh sb="0" eb="2">
      <t>ベイコク</t>
    </rPh>
    <rPh sb="2" eb="3">
      <t>カ</t>
    </rPh>
    <rPh sb="4" eb="6">
      <t>カノウ</t>
    </rPh>
    <phoneticPr fontId="1"/>
  </si>
  <si>
    <t>マメダス（町設置）</t>
    <rPh sb="5" eb="6">
      <t>チョウ</t>
    </rPh>
    <rPh sb="6" eb="8">
      <t>セッチ</t>
    </rPh>
    <phoneticPr fontId="1"/>
  </si>
  <si>
    <t>0125-65-4731</t>
  </si>
  <si>
    <t>空知郡奈井江町白山３区</t>
    <rPh sb="0" eb="3">
      <t>ソラチグン</t>
    </rPh>
    <rPh sb="3" eb="7">
      <t>ナイエチョウ</t>
    </rPh>
    <rPh sb="7" eb="9">
      <t>ハクサン</t>
    </rPh>
    <rPh sb="10" eb="11">
      <t>ク</t>
    </rPh>
    <phoneticPr fontId="1"/>
  </si>
  <si>
    <t>011-378-5678</t>
    <phoneticPr fontId="1"/>
  </si>
  <si>
    <t>空知郡南幌町南16線西1番地（（有）ライフ代表取締役）</t>
    <rPh sb="0" eb="3">
      <t>ソラチグン</t>
    </rPh>
    <rPh sb="3" eb="6">
      <t>ナンポロチョウ</t>
    </rPh>
    <rPh sb="6" eb="7">
      <t>ミナミ</t>
    </rPh>
    <rPh sb="9" eb="10">
      <t>セン</t>
    </rPh>
    <rPh sb="10" eb="11">
      <t>ニシ</t>
    </rPh>
    <rPh sb="12" eb="14">
      <t>バンチ</t>
    </rPh>
    <rPh sb="16" eb="17">
      <t>ユウ</t>
    </rPh>
    <rPh sb="21" eb="23">
      <t>ダイヒョウ</t>
    </rPh>
    <rPh sb="23" eb="26">
      <t>トリシマリヤク</t>
    </rPh>
    <phoneticPr fontId="1"/>
  </si>
  <si>
    <t>販売推進課　佐藤係長</t>
    <rPh sb="0" eb="2">
      <t>ハンバイ</t>
    </rPh>
    <rPh sb="2" eb="5">
      <t>スイシンカ</t>
    </rPh>
    <rPh sb="6" eb="8">
      <t>サトウ</t>
    </rPh>
    <rPh sb="8" eb="10">
      <t>カカリチョウ</t>
    </rPh>
    <phoneticPr fontId="1"/>
  </si>
  <si>
    <t>美唄市北美唄町2区</t>
    <phoneticPr fontId="1"/>
  </si>
  <si>
    <t>0126-63-0526</t>
    <phoneticPr fontId="1"/>
  </si>
  <si>
    <t>美唄市北美唄（℡：ＪＡ米麦課）</t>
    <rPh sb="0" eb="3">
      <t>ビバイシ</t>
    </rPh>
    <rPh sb="3" eb="4">
      <t>キタ</t>
    </rPh>
    <rPh sb="4" eb="6">
      <t>ビバイ</t>
    </rPh>
    <rPh sb="11" eb="13">
      <t>ベイバク</t>
    </rPh>
    <rPh sb="13" eb="14">
      <t>カ</t>
    </rPh>
    <phoneticPr fontId="1"/>
  </si>
  <si>
    <t>米麦課　早川係長</t>
    <rPh sb="0" eb="2">
      <t>ベイバク</t>
    </rPh>
    <rPh sb="2" eb="3">
      <t>カ</t>
    </rPh>
    <rPh sb="4" eb="6">
      <t>ハヤカワ</t>
    </rPh>
    <rPh sb="6" eb="8">
      <t>カカリチョウ</t>
    </rPh>
    <phoneticPr fontId="1"/>
  </si>
  <si>
    <t>0164-33-3610</t>
    <phoneticPr fontId="1"/>
  </si>
  <si>
    <t>雨竜郡秩父別町1条9丁目</t>
    <rPh sb="0" eb="3">
      <t>ウリュウグン</t>
    </rPh>
    <rPh sb="3" eb="6">
      <t>チップベツ</t>
    </rPh>
    <rPh sb="6" eb="7">
      <t>チョウ</t>
    </rPh>
    <rPh sb="8" eb="9">
      <t>ジョウ</t>
    </rPh>
    <rPh sb="10" eb="12">
      <t>チョウメ</t>
    </rPh>
    <phoneticPr fontId="1"/>
  </si>
  <si>
    <t>妹背牛支所　米穀農産課　遠藤課長</t>
    <rPh sb="0" eb="3">
      <t>モセウシ</t>
    </rPh>
    <rPh sb="3" eb="5">
      <t>シショ</t>
    </rPh>
    <rPh sb="6" eb="8">
      <t>ベイコク</t>
    </rPh>
    <rPh sb="8" eb="10">
      <t>ノウサン</t>
    </rPh>
    <rPh sb="10" eb="11">
      <t>カ</t>
    </rPh>
    <rPh sb="12" eb="14">
      <t>エンドウ</t>
    </rPh>
    <rPh sb="14" eb="16">
      <t>カチョウ</t>
    </rPh>
    <phoneticPr fontId="1"/>
  </si>
  <si>
    <t>0164-32-2894</t>
    <phoneticPr fontId="1"/>
  </si>
  <si>
    <t>雨竜郡妹背牛町6区</t>
    <rPh sb="0" eb="3">
      <t>ウリュウグン</t>
    </rPh>
    <rPh sb="3" eb="6">
      <t>モセウシ</t>
    </rPh>
    <rPh sb="6" eb="7">
      <t>マチ</t>
    </rPh>
    <rPh sb="8" eb="9">
      <t>ク</t>
    </rPh>
    <phoneticPr fontId="1"/>
  </si>
  <si>
    <t>秩父別支所　米穀農産課　木川田課長</t>
    <rPh sb="0" eb="3">
      <t>チップベツ</t>
    </rPh>
    <rPh sb="3" eb="5">
      <t>シショ</t>
    </rPh>
    <rPh sb="6" eb="8">
      <t>ベイコク</t>
    </rPh>
    <rPh sb="8" eb="10">
      <t>ノウサン</t>
    </rPh>
    <rPh sb="10" eb="11">
      <t>カ</t>
    </rPh>
    <rPh sb="12" eb="17">
      <t>キカワダカチョウ</t>
    </rPh>
    <phoneticPr fontId="1"/>
  </si>
  <si>
    <t>0164-62-3783</t>
  </si>
  <si>
    <t>苫前郡羽幌町字朝日1号27番地</t>
    <rPh sb="0" eb="2">
      <t>トママエ</t>
    </rPh>
    <rPh sb="2" eb="3">
      <t>グン</t>
    </rPh>
    <rPh sb="3" eb="5">
      <t>ハボロ</t>
    </rPh>
    <rPh sb="5" eb="6">
      <t>マチ</t>
    </rPh>
    <rPh sb="6" eb="7">
      <t>アザ</t>
    </rPh>
    <rPh sb="7" eb="9">
      <t>アサヒ</t>
    </rPh>
    <rPh sb="10" eb="11">
      <t>ゴウ</t>
    </rPh>
    <rPh sb="13" eb="15">
      <t>バンチ</t>
    </rPh>
    <phoneticPr fontId="1"/>
  </si>
  <si>
    <t>0164-59-1336</t>
  </si>
  <si>
    <t>永山</t>
    <rPh sb="0" eb="2">
      <t>ナガヤマ</t>
    </rPh>
    <phoneticPr fontId="1"/>
  </si>
  <si>
    <t>旭川市宮前通東</t>
    <rPh sb="0" eb="3">
      <t>アサヒカワシ</t>
    </rPh>
    <rPh sb="3" eb="5">
      <t>ミヤマエ</t>
    </rPh>
    <rPh sb="5" eb="6">
      <t>ドオ</t>
    </rPh>
    <rPh sb="6" eb="7">
      <t>ヒガシ</t>
    </rPh>
    <phoneticPr fontId="1"/>
  </si>
  <si>
    <t>0166-48-6647</t>
    <phoneticPr fontId="1"/>
  </si>
  <si>
    <t>旭川市永山町11丁目</t>
    <rPh sb="0" eb="3">
      <t>アサヒカワシ</t>
    </rPh>
    <rPh sb="3" eb="6">
      <t>ナガヤマチョウ</t>
    </rPh>
    <rPh sb="8" eb="10">
      <t>チョウメ</t>
    </rPh>
    <phoneticPr fontId="1"/>
  </si>
  <si>
    <t>0166-57-3798</t>
    <phoneticPr fontId="1"/>
  </si>
  <si>
    <t>旭川市東鷹栖4線11号</t>
    <rPh sb="0" eb="3">
      <t>アサヒカワシ</t>
    </rPh>
    <rPh sb="3" eb="6">
      <t>ヒガシタカス</t>
    </rPh>
    <rPh sb="7" eb="8">
      <t>セン</t>
    </rPh>
    <rPh sb="10" eb="11">
      <t>ゴウ</t>
    </rPh>
    <phoneticPr fontId="1"/>
  </si>
  <si>
    <t>空知郡中富良野町字鹿討農場</t>
    <rPh sb="0" eb="3">
      <t>ソラチグン</t>
    </rPh>
    <rPh sb="3" eb="8">
      <t>ナカフラノチョウ</t>
    </rPh>
    <rPh sb="8" eb="9">
      <t>アザ</t>
    </rPh>
    <rPh sb="9" eb="10">
      <t>シカ</t>
    </rPh>
    <rPh sb="10" eb="11">
      <t>ウ</t>
    </rPh>
    <rPh sb="11" eb="13">
      <t>ノウジョウ</t>
    </rPh>
    <phoneticPr fontId="1"/>
  </si>
  <si>
    <t>0167-44-3214</t>
    <phoneticPr fontId="1"/>
  </si>
  <si>
    <t>富良野市東町</t>
    <rPh sb="0" eb="4">
      <t>フラノシ</t>
    </rPh>
    <rPh sb="4" eb="5">
      <t>ヒガシ</t>
    </rPh>
    <rPh sb="5" eb="6">
      <t>マチ</t>
    </rPh>
    <phoneticPr fontId="1"/>
  </si>
  <si>
    <t>0167-22-3803</t>
    <phoneticPr fontId="1"/>
  </si>
  <si>
    <t>富良野市西扇山2</t>
    <rPh sb="0" eb="4">
      <t>フラノシ</t>
    </rPh>
    <rPh sb="4" eb="5">
      <t>ニシ</t>
    </rPh>
    <rPh sb="5" eb="6">
      <t>オウギ</t>
    </rPh>
    <rPh sb="6" eb="7">
      <t>ヤマ</t>
    </rPh>
    <phoneticPr fontId="1"/>
  </si>
  <si>
    <t>上川郡東神楽町東2線（旭川空港）</t>
    <rPh sb="0" eb="3">
      <t>カミカワグン</t>
    </rPh>
    <rPh sb="3" eb="4">
      <t>ヒガシ</t>
    </rPh>
    <rPh sb="4" eb="6">
      <t>カグラ</t>
    </rPh>
    <rPh sb="6" eb="7">
      <t>マチ</t>
    </rPh>
    <rPh sb="7" eb="8">
      <t>ヒガシ</t>
    </rPh>
    <rPh sb="9" eb="10">
      <t>セン</t>
    </rPh>
    <rPh sb="11" eb="13">
      <t>アサヒカワ</t>
    </rPh>
    <rPh sb="13" eb="15">
      <t>クウコウ</t>
    </rPh>
    <phoneticPr fontId="1"/>
  </si>
  <si>
    <t>窪田昇一</t>
    <rPh sb="0" eb="2">
      <t>クボタ</t>
    </rPh>
    <rPh sb="2" eb="4">
      <t>ショウイチ</t>
    </rPh>
    <phoneticPr fontId="1"/>
  </si>
  <si>
    <t>0166-83-3158</t>
    <phoneticPr fontId="1"/>
  </si>
  <si>
    <t>上川郡東神楽町10号南３</t>
    <rPh sb="3" eb="7">
      <t>ヒガシカグラチョウ</t>
    </rPh>
    <rPh sb="9" eb="10">
      <t>ゴウ</t>
    </rPh>
    <rPh sb="10" eb="11">
      <t>ミナミ</t>
    </rPh>
    <phoneticPr fontId="1"/>
  </si>
  <si>
    <t>上川郡東川町北町</t>
    <rPh sb="0" eb="3">
      <t>カミカワグン</t>
    </rPh>
    <phoneticPr fontId="1"/>
  </si>
  <si>
    <t>上川郡東川町１号北１６番地</t>
    <phoneticPr fontId="1"/>
  </si>
  <si>
    <t>0166-84-4252</t>
    <phoneticPr fontId="1"/>
  </si>
  <si>
    <t>上川郡当麻町北星２区（昨年より変更）</t>
    <rPh sb="0" eb="3">
      <t>カミカワグン</t>
    </rPh>
    <rPh sb="3" eb="5">
      <t>トウマ</t>
    </rPh>
    <rPh sb="5" eb="6">
      <t>マチ</t>
    </rPh>
    <rPh sb="6" eb="8">
      <t>ホクセイ</t>
    </rPh>
    <rPh sb="9" eb="10">
      <t>ク</t>
    </rPh>
    <rPh sb="11" eb="13">
      <t>サクネン</t>
    </rPh>
    <rPh sb="15" eb="17">
      <t>ヘンコウ</t>
    </rPh>
    <phoneticPr fontId="1"/>
  </si>
  <si>
    <t>上川郡比布町北町</t>
    <rPh sb="0" eb="3">
      <t>カミカワグン</t>
    </rPh>
    <phoneticPr fontId="1"/>
  </si>
  <si>
    <t>0166-85-2087</t>
    <phoneticPr fontId="1"/>
  </si>
  <si>
    <t>上川郡比布町北1線5号（ＪＡ専務）</t>
    <rPh sb="0" eb="3">
      <t>カミカワグン</t>
    </rPh>
    <rPh sb="3" eb="6">
      <t>ピップチョウ</t>
    </rPh>
    <rPh sb="6" eb="7">
      <t>キタ</t>
    </rPh>
    <rPh sb="8" eb="9">
      <t>セン</t>
    </rPh>
    <rPh sb="10" eb="11">
      <t>ゴウ</t>
    </rPh>
    <rPh sb="14" eb="16">
      <t>センム</t>
    </rPh>
    <phoneticPr fontId="1"/>
  </si>
  <si>
    <t>上川郡美瑛町原野5線</t>
    <rPh sb="0" eb="3">
      <t>カミカワグン</t>
    </rPh>
    <phoneticPr fontId="1"/>
  </si>
  <si>
    <t>0166-92-4752</t>
    <phoneticPr fontId="1"/>
  </si>
  <si>
    <t>上川郡美瑛町字美瑛原野4線</t>
    <rPh sb="0" eb="3">
      <t>カミカワグン</t>
    </rPh>
    <rPh sb="3" eb="6">
      <t>ビエイチョウ</t>
    </rPh>
    <rPh sb="6" eb="7">
      <t>アザ</t>
    </rPh>
    <rPh sb="7" eb="9">
      <t>ビエイ</t>
    </rPh>
    <rPh sb="9" eb="11">
      <t>ゲンヤ</t>
    </rPh>
    <rPh sb="12" eb="13">
      <t>セン</t>
    </rPh>
    <phoneticPr fontId="1"/>
  </si>
  <si>
    <t>上川郡和寒町字日ノ出</t>
    <rPh sb="0" eb="3">
      <t>カミカワグン</t>
    </rPh>
    <rPh sb="3" eb="6">
      <t>ワッサムチョウ</t>
    </rPh>
    <rPh sb="6" eb="7">
      <t>アザ</t>
    </rPh>
    <rPh sb="7" eb="8">
      <t>ヒ</t>
    </rPh>
    <rPh sb="9" eb="10">
      <t>デ</t>
    </rPh>
    <phoneticPr fontId="1"/>
  </si>
  <si>
    <t>0165-32-4086</t>
    <phoneticPr fontId="1"/>
  </si>
  <si>
    <t>上川郡和寒町字中和848番地</t>
    <rPh sb="0" eb="3">
      <t>カミカワグン</t>
    </rPh>
    <rPh sb="3" eb="6">
      <t>ワッサムチョウ</t>
    </rPh>
    <rPh sb="6" eb="7">
      <t>ジ</t>
    </rPh>
    <rPh sb="7" eb="9">
      <t>チュウワ</t>
    </rPh>
    <rPh sb="12" eb="14">
      <t>バンチ</t>
    </rPh>
    <phoneticPr fontId="1"/>
  </si>
  <si>
    <t>ゆめぴりか定点観測実施者一覧</t>
    <rPh sb="5" eb="7">
      <t>テイテン</t>
    </rPh>
    <rPh sb="7" eb="9">
      <t>カンソク</t>
    </rPh>
    <rPh sb="9" eb="12">
      <t>ジッシシャ</t>
    </rPh>
    <rPh sb="12" eb="14">
      <t>イチラン</t>
    </rPh>
    <phoneticPr fontId="1"/>
  </si>
  <si>
    <t>令和元年産</t>
    <rPh sb="0" eb="2">
      <t>レイワ</t>
    </rPh>
    <rPh sb="2" eb="4">
      <t>ガンネン</t>
    </rPh>
    <rPh sb="4" eb="5">
      <t>サン</t>
    </rPh>
    <phoneticPr fontId="1"/>
  </si>
  <si>
    <t>令和2年度</t>
    <rPh sb="0" eb="2">
      <t>レイワ</t>
    </rPh>
    <rPh sb="3" eb="5">
      <t>ネンド</t>
    </rPh>
    <phoneticPr fontId="1"/>
  </si>
  <si>
    <t>令和3年度</t>
    <rPh sb="0" eb="2">
      <t>レイワ</t>
    </rPh>
    <rPh sb="3" eb="5">
      <t>ネンド</t>
    </rPh>
    <phoneticPr fontId="1"/>
  </si>
  <si>
    <t>令和4年度</t>
    <rPh sb="0" eb="2">
      <t>レイワ</t>
    </rPh>
    <rPh sb="3" eb="5">
      <t>ネンド</t>
    </rPh>
    <phoneticPr fontId="1"/>
  </si>
  <si>
    <t>R2～R4生産者変更</t>
    <rPh sb="5" eb="8">
      <t>セイサンシャ</t>
    </rPh>
    <rPh sb="8" eb="10">
      <t>ヘンコウ</t>
    </rPh>
    <phoneticPr fontId="1"/>
  </si>
  <si>
    <t>R4修正済み</t>
    <rPh sb="2" eb="4">
      <t>シュウセイ</t>
    </rPh>
    <rPh sb="4" eb="5">
      <t>ズ</t>
    </rPh>
    <phoneticPr fontId="1"/>
  </si>
  <si>
    <t>備考①</t>
    <rPh sb="0" eb="2">
      <t>ビコウ</t>
    </rPh>
    <phoneticPr fontId="1"/>
  </si>
  <si>
    <t>備考②</t>
    <rPh sb="0" eb="2">
      <t>ビコウ</t>
    </rPh>
    <phoneticPr fontId="1"/>
  </si>
  <si>
    <t>❍</t>
  </si>
  <si>
    <t>3セット</t>
    <phoneticPr fontId="1"/>
  </si>
  <si>
    <t>前田拓郎</t>
    <rPh sb="0" eb="2">
      <t>マエダ</t>
    </rPh>
    <rPh sb="2" eb="4">
      <t>タクロウ</t>
    </rPh>
    <phoneticPr fontId="1"/>
  </si>
  <si>
    <t>×</t>
  </si>
  <si>
    <t>６セット</t>
    <phoneticPr fontId="1"/>
  </si>
  <si>
    <t>高田祐輔</t>
    <phoneticPr fontId="1"/>
  </si>
  <si>
    <t>圃場は同じ</t>
    <rPh sb="0" eb="2">
      <t>ホジョウ</t>
    </rPh>
    <rPh sb="3" eb="4">
      <t>オナ</t>
    </rPh>
    <phoneticPr fontId="1"/>
  </si>
  <si>
    <t>恵庭市下島松</t>
    <phoneticPr fontId="1"/>
  </si>
  <si>
    <t>-</t>
    <phoneticPr fontId="1"/>
  </si>
  <si>
    <t>富田薫夫①</t>
    <phoneticPr fontId="1"/>
  </si>
  <si>
    <t>40.4E</t>
    <phoneticPr fontId="1"/>
  </si>
  <si>
    <t>富田薫夫②</t>
    <phoneticPr fontId="1"/>
  </si>
  <si>
    <t>40.6E</t>
    <phoneticPr fontId="1"/>
  </si>
  <si>
    <t>9セット</t>
    <phoneticPr fontId="1"/>
  </si>
  <si>
    <t>田中明美</t>
    <phoneticPr fontId="1"/>
  </si>
  <si>
    <t>基盤整備中止</t>
  </si>
  <si>
    <t>R5再開</t>
    <rPh sb="2" eb="4">
      <t>サイカイ</t>
    </rPh>
    <phoneticPr fontId="1"/>
  </si>
  <si>
    <t>×</t>
    <phoneticPr fontId="1"/>
  </si>
  <si>
    <t>27セット</t>
    <phoneticPr fontId="1"/>
  </si>
  <si>
    <t>村上　正憲</t>
    <rPh sb="0" eb="2">
      <t>ムラカミ</t>
    </rPh>
    <rPh sb="3" eb="4">
      <t>タダ</t>
    </rPh>
    <phoneticPr fontId="1"/>
  </si>
  <si>
    <t>2セット</t>
    <phoneticPr fontId="1"/>
  </si>
  <si>
    <t>今野　勝洋</t>
    <rPh sb="0" eb="2">
      <t>コンノ</t>
    </rPh>
    <rPh sb="3" eb="5">
      <t>カツヒロ</t>
    </rPh>
    <phoneticPr fontId="1"/>
  </si>
  <si>
    <t>14セット</t>
    <phoneticPr fontId="1"/>
  </si>
  <si>
    <t>64セット</t>
    <phoneticPr fontId="1"/>
  </si>
  <si>
    <t>土壌断面及び収量調査の地区（玉ねぎ袋3枚）</t>
    <rPh sb="0" eb="2">
      <t>ドジョウ</t>
    </rPh>
    <rPh sb="2" eb="4">
      <t>ダンメン</t>
    </rPh>
    <rPh sb="4" eb="5">
      <t>オヨ</t>
    </rPh>
    <rPh sb="6" eb="8">
      <t>シュウリョウ</t>
    </rPh>
    <rPh sb="8" eb="10">
      <t>チョウサ</t>
    </rPh>
    <rPh sb="11" eb="13">
      <t>チク</t>
    </rPh>
    <rPh sb="14" eb="15">
      <t>タマ</t>
    </rPh>
    <rPh sb="17" eb="18">
      <t>フクロ</t>
    </rPh>
    <rPh sb="19" eb="20">
      <t>マイ</t>
    </rPh>
    <phoneticPr fontId="1"/>
  </si>
  <si>
    <t>無色の地区は通常の袋と土壌入れの袋（玉ねぎ袋1枚、ビニール袋１枚/1KG）</t>
    <rPh sb="0" eb="2">
      <t>ムショク</t>
    </rPh>
    <rPh sb="3" eb="5">
      <t>チク</t>
    </rPh>
    <rPh sb="6" eb="8">
      <t>ツウジョウ</t>
    </rPh>
    <rPh sb="9" eb="10">
      <t>フクロ</t>
    </rPh>
    <rPh sb="11" eb="13">
      <t>ドジョウ</t>
    </rPh>
    <rPh sb="13" eb="14">
      <t>イ</t>
    </rPh>
    <rPh sb="16" eb="17">
      <t>フクロ</t>
    </rPh>
    <rPh sb="18" eb="19">
      <t>タマ</t>
    </rPh>
    <rPh sb="21" eb="22">
      <t>フクロ</t>
    </rPh>
    <rPh sb="23" eb="24">
      <t>マイ</t>
    </rPh>
    <rPh sb="29" eb="30">
      <t>フクロ</t>
    </rPh>
    <rPh sb="31" eb="32">
      <t>マイ</t>
    </rPh>
    <phoneticPr fontId="1"/>
  </si>
  <si>
    <t>計算例：岩見沢の場合～青の7地区×３セット+無色6地区×１セット＝27セット</t>
    <rPh sb="0" eb="2">
      <t>ケイサン</t>
    </rPh>
    <rPh sb="2" eb="3">
      <t>レイ</t>
    </rPh>
    <rPh sb="4" eb="7">
      <t>イワミザワ</t>
    </rPh>
    <rPh sb="8" eb="10">
      <t>バアイ</t>
    </rPh>
    <rPh sb="11" eb="12">
      <t>アオ</t>
    </rPh>
    <rPh sb="14" eb="16">
      <t>チク</t>
    </rPh>
    <rPh sb="22" eb="24">
      <t>ムショク</t>
    </rPh>
    <rPh sb="25" eb="27">
      <t>チク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</si>
</sst>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#,##0.0_);[Red]\(#,##0.0\)"/>
    <numFmt numFmtId="178" formatCode="0.0"/>
    <numFmt numFmtId="179" formatCode="0.0000_);[Red]\(0.0000\)"/>
    <numFmt numFmtId="180" formatCode="[$-409]yyyy/m/d\ h:mm\ AM/PM;@"/>
    <numFmt numFmtId="181" formatCode="0.0_);[Red]\(0.0\)"/>
  </numFmts>
  <fonts count="4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color theme="1"/>
      <name val="MS UI Gothic"/>
      <family val="3"/>
      <charset val="128"/>
    </font>
    <font>
      <sz val="10"/>
      <color rgb="FFFF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rgb="FF0000CC"/>
      <name val="ＭＳ Ｐゴシック"/>
      <family val="3"/>
      <charset val="128"/>
    </font>
    <font>
      <sz val="14"/>
      <name val="HG丸ｺﾞｼｯｸM-PRO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MS UI Gothic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ajor"/>
    </font>
    <font>
      <sz val="10"/>
      <color theme="1"/>
      <name val="ＭＳ Ｐゴシック"/>
      <family val="3"/>
      <scheme val="major"/>
    </font>
    <font>
      <sz val="10"/>
      <color rgb="FFFF0000"/>
      <name val="ＭＳ Ｐゴシック"/>
      <family val="3"/>
      <charset val="128"/>
      <scheme val="major"/>
    </font>
    <font>
      <sz val="10"/>
      <color rgb="FFFF0000"/>
      <name val="ＭＳ Ｐゴシック"/>
      <family val="3"/>
      <scheme val="major"/>
    </font>
    <font>
      <strike/>
      <sz val="10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sz val="18"/>
      <name val="ＭＳ Ｐゴシック"/>
      <family val="3"/>
      <charset val="128"/>
    </font>
    <font>
      <sz val="11"/>
      <name val="ＭＳ Ｐゴシック"/>
      <family val="3"/>
    </font>
    <font>
      <sz val="11"/>
      <name val="ＭＳ Ｐゴシック"/>
      <family val="2"/>
      <charset val="128"/>
      <scheme val="minor"/>
    </font>
    <font>
      <sz val="11"/>
      <color theme="4"/>
      <name val="ＭＳ Ｐゴシック"/>
      <family val="3"/>
      <charset val="128"/>
    </font>
    <font>
      <sz val="11"/>
      <color theme="3" tint="0.39997558519241921"/>
      <name val="ＭＳ Ｐゴシック"/>
      <family val="3"/>
      <charset val="128"/>
    </font>
    <font>
      <sz val="11"/>
      <color rgb="FFFF0000"/>
      <name val="ＭＳ Ｐゴシック"/>
      <family val="3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</font>
    <font>
      <sz val="11"/>
      <color rgb="FF0070C0"/>
      <name val="ＭＳ Ｐゴシック"/>
      <family val="3"/>
      <charset val="128"/>
    </font>
    <font>
      <b/>
      <u/>
      <sz val="9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u/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u/>
      <sz val="11"/>
      <name val="ＭＳ Ｐ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>
      <alignment vertical="center"/>
    </xf>
  </cellStyleXfs>
  <cellXfs count="89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4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 shrinkToFit="1"/>
    </xf>
    <xf numFmtId="176" fontId="2" fillId="0" borderId="37" xfId="0" applyNumberFormat="1" applyFont="1" applyBorder="1" applyAlignment="1">
      <alignment horizontal="right" vertical="center"/>
    </xf>
    <xf numFmtId="5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horizontal="center" vertical="center" shrinkToFit="1"/>
    </xf>
    <xf numFmtId="56" fontId="2" fillId="0" borderId="38" xfId="0" applyNumberFormat="1" applyFont="1" applyBorder="1" applyAlignment="1">
      <alignment vertical="center" shrinkToFit="1"/>
    </xf>
    <xf numFmtId="56" fontId="2" fillId="0" borderId="17" xfId="0" applyNumberFormat="1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56" fontId="2" fillId="0" borderId="39" xfId="0" applyNumberFormat="1" applyFont="1" applyBorder="1" applyAlignment="1">
      <alignment vertical="center" shrinkToFit="1"/>
    </xf>
    <xf numFmtId="56" fontId="2" fillId="0" borderId="18" xfId="0" applyNumberFormat="1" applyFont="1" applyBorder="1" applyAlignment="1">
      <alignment vertical="center" shrinkToFit="1"/>
    </xf>
    <xf numFmtId="56" fontId="2" fillId="0" borderId="37" xfId="0" applyNumberFormat="1" applyFont="1" applyBorder="1" applyAlignment="1">
      <alignment vertical="center" shrinkToFit="1"/>
    </xf>
    <xf numFmtId="176" fontId="2" fillId="0" borderId="21" xfId="0" applyNumberFormat="1" applyFont="1" applyBorder="1" applyAlignment="1">
      <alignment horizontal="right" vertical="center"/>
    </xf>
    <xf numFmtId="176" fontId="2" fillId="0" borderId="9" xfId="0" applyNumberFormat="1" applyFont="1" applyBorder="1">
      <alignment vertical="center"/>
    </xf>
    <xf numFmtId="0" fontId="2" fillId="0" borderId="9" xfId="0" applyFont="1" applyBorder="1" applyAlignment="1">
      <alignment horizontal="center" vertical="center" shrinkToFit="1"/>
    </xf>
    <xf numFmtId="176" fontId="2" fillId="0" borderId="18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76" fontId="7" fillId="0" borderId="0" xfId="0" applyNumberFormat="1" applyFont="1" applyAlignment="1">
      <alignment horizontal="right" vertical="center" shrinkToFit="1"/>
    </xf>
    <xf numFmtId="0" fontId="3" fillId="0" borderId="1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4" xfId="0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3" fillId="0" borderId="7" xfId="0" quotePrefix="1" applyFont="1" applyBorder="1">
      <alignment vertical="center"/>
    </xf>
    <xf numFmtId="56" fontId="2" fillId="2" borderId="40" xfId="0" applyNumberFormat="1" applyFont="1" applyFill="1" applyBorder="1">
      <alignment vertical="center"/>
    </xf>
    <xf numFmtId="56" fontId="2" fillId="2" borderId="41" xfId="0" applyNumberFormat="1" applyFont="1" applyFill="1" applyBorder="1">
      <alignment vertical="center"/>
    </xf>
    <xf numFmtId="56" fontId="2" fillId="3" borderId="42" xfId="0" applyNumberFormat="1" applyFont="1" applyFill="1" applyBorder="1">
      <alignment vertical="center"/>
    </xf>
    <xf numFmtId="56" fontId="2" fillId="2" borderId="43" xfId="0" applyNumberFormat="1" applyFont="1" applyFill="1" applyBorder="1">
      <alignment vertical="center"/>
    </xf>
    <xf numFmtId="56" fontId="2" fillId="2" borderId="42" xfId="0" applyNumberFormat="1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quotePrefix="1" applyFont="1" applyBorder="1">
      <alignment vertical="center"/>
    </xf>
    <xf numFmtId="0" fontId="9" fillId="0" borderId="3" xfId="0" applyFont="1" applyBorder="1">
      <alignment vertical="center"/>
    </xf>
    <xf numFmtId="0" fontId="9" fillId="0" borderId="32" xfId="0" applyFont="1" applyBorder="1">
      <alignment vertical="center"/>
    </xf>
    <xf numFmtId="56" fontId="2" fillId="0" borderId="19" xfId="0" applyNumberFormat="1" applyFont="1" applyBorder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56" fontId="2" fillId="0" borderId="44" xfId="0" applyNumberFormat="1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30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9" fillId="0" borderId="25" xfId="0" applyFont="1" applyBorder="1">
      <alignment vertical="center"/>
    </xf>
    <xf numFmtId="0" fontId="9" fillId="0" borderId="31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56" fontId="2" fillId="0" borderId="30" xfId="0" applyNumberFormat="1" applyFont="1" applyBorder="1">
      <alignment vertical="center"/>
    </xf>
    <xf numFmtId="0" fontId="3" fillId="0" borderId="2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56" fontId="2" fillId="0" borderId="31" xfId="0" applyNumberFormat="1" applyFont="1" applyBorder="1">
      <alignment vertical="center"/>
    </xf>
    <xf numFmtId="176" fontId="2" fillId="0" borderId="45" xfId="0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0" fontId="3" fillId="0" borderId="29" xfId="0" applyFont="1" applyBorder="1">
      <alignment vertical="center"/>
    </xf>
    <xf numFmtId="56" fontId="2" fillId="0" borderId="29" xfId="0" applyNumberFormat="1" applyFont="1" applyBorder="1">
      <alignment vertical="center"/>
    </xf>
    <xf numFmtId="0" fontId="3" fillId="0" borderId="33" xfId="0" applyFont="1" applyBorder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9" xfId="0" applyFont="1" applyBorder="1">
      <alignment vertical="center"/>
    </xf>
    <xf numFmtId="56" fontId="2" fillId="0" borderId="16" xfId="0" applyNumberFormat="1" applyFont="1" applyBorder="1" applyAlignment="1">
      <alignment horizontal="right" vertical="center"/>
    </xf>
    <xf numFmtId="56" fontId="2" fillId="0" borderId="29" xfId="0" applyNumberFormat="1" applyFont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4" xfId="0" applyFont="1" applyBorder="1">
      <alignment vertical="center"/>
    </xf>
    <xf numFmtId="0" fontId="13" fillId="0" borderId="25" xfId="0" applyFont="1" applyBorder="1">
      <alignment vertical="center"/>
    </xf>
    <xf numFmtId="0" fontId="13" fillId="0" borderId="31" xfId="0" applyFont="1" applyBorder="1">
      <alignment vertical="center"/>
    </xf>
    <xf numFmtId="56" fontId="2" fillId="0" borderId="28" xfId="0" applyNumberFormat="1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14" fillId="0" borderId="10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9" xfId="0" applyFont="1" applyBorder="1">
      <alignment vertical="center"/>
    </xf>
    <xf numFmtId="56" fontId="2" fillId="0" borderId="16" xfId="0" applyNumberFormat="1" applyFont="1" applyBorder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30" xfId="0" applyFont="1" applyBorder="1">
      <alignment vertical="center"/>
    </xf>
    <xf numFmtId="56" fontId="2" fillId="0" borderId="17" xfId="0" applyNumberFormat="1" applyFont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14" fillId="0" borderId="23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31" xfId="0" applyFont="1" applyBorder="1">
      <alignment vertical="center"/>
    </xf>
    <xf numFmtId="56" fontId="2" fillId="0" borderId="18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22" xfId="0" applyFont="1" applyBorder="1">
      <alignment vertical="center"/>
    </xf>
    <xf numFmtId="0" fontId="15" fillId="0" borderId="29" xfId="0" applyFont="1" applyBorder="1">
      <alignment vertical="center"/>
    </xf>
    <xf numFmtId="56" fontId="2" fillId="0" borderId="29" xfId="0" applyNumberFormat="1" applyFont="1" applyBorder="1" applyAlignment="1">
      <alignment horizontal="center" vertical="center" shrinkToFit="1"/>
    </xf>
    <xf numFmtId="56" fontId="2" fillId="2" borderId="46" xfId="0" applyNumberFormat="1" applyFont="1" applyFill="1" applyBorder="1">
      <alignment vertical="center"/>
    </xf>
    <xf numFmtId="56" fontId="2" fillId="2" borderId="47" xfId="0" applyNumberFormat="1" applyFont="1" applyFill="1" applyBorder="1">
      <alignment vertical="center"/>
    </xf>
    <xf numFmtId="56" fontId="2" fillId="2" borderId="48" xfId="0" applyNumberFormat="1" applyFont="1" applyFill="1" applyBorder="1">
      <alignment vertical="center"/>
    </xf>
    <xf numFmtId="0" fontId="3" fillId="0" borderId="21" xfId="0" applyFont="1" applyBorder="1">
      <alignment vertical="center"/>
    </xf>
    <xf numFmtId="176" fontId="2" fillId="0" borderId="0" xfId="0" applyNumberFormat="1" applyFont="1" applyAlignment="1">
      <alignment horizontal="left" vertical="center"/>
    </xf>
    <xf numFmtId="0" fontId="15" fillId="0" borderId="4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6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 shrinkToFit="1"/>
    </xf>
    <xf numFmtId="0" fontId="15" fillId="0" borderId="14" xfId="0" applyFont="1" applyBorder="1">
      <alignment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15" fillId="0" borderId="25" xfId="0" applyFont="1" applyBorder="1">
      <alignment vertical="center"/>
    </xf>
    <xf numFmtId="0" fontId="15" fillId="0" borderId="31" xfId="0" applyFont="1" applyBorder="1">
      <alignment vertical="center"/>
    </xf>
    <xf numFmtId="56" fontId="2" fillId="0" borderId="31" xfId="0" applyNumberFormat="1" applyFont="1" applyBorder="1" applyAlignment="1">
      <alignment horizontal="center" vertical="center" shrinkToFit="1"/>
    </xf>
    <xf numFmtId="176" fontId="2" fillId="0" borderId="29" xfId="0" applyNumberFormat="1" applyFont="1" applyBorder="1" applyAlignment="1">
      <alignment horizontal="left" vertical="center"/>
    </xf>
    <xf numFmtId="176" fontId="2" fillId="0" borderId="30" xfId="0" applyNumberFormat="1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/>
    </xf>
    <xf numFmtId="176" fontId="2" fillId="0" borderId="24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9" xfId="0" applyFont="1" applyBorder="1">
      <alignment vertical="center"/>
    </xf>
    <xf numFmtId="176" fontId="2" fillId="0" borderId="29" xfId="0" applyNumberFormat="1" applyFont="1" applyBorder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30" xfId="0" applyFont="1" applyBorder="1">
      <alignment vertical="center"/>
    </xf>
    <xf numFmtId="176" fontId="2" fillId="0" borderId="30" xfId="0" applyNumberFormat="1" applyFont="1" applyBorder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4" xfId="0" quotePrefix="1" applyFont="1" applyBorder="1">
      <alignment vertical="center"/>
    </xf>
    <xf numFmtId="0" fontId="10" fillId="0" borderId="25" xfId="0" applyFont="1" applyBorder="1">
      <alignment vertical="center"/>
    </xf>
    <xf numFmtId="0" fontId="10" fillId="0" borderId="31" xfId="0" applyFont="1" applyBorder="1">
      <alignment vertical="center"/>
    </xf>
    <xf numFmtId="176" fontId="2" fillId="0" borderId="31" xfId="0" applyNumberFormat="1" applyFont="1" applyBorder="1">
      <alignment vertical="center"/>
    </xf>
    <xf numFmtId="56" fontId="11" fillId="2" borderId="43" xfId="0" applyNumberFormat="1" applyFont="1" applyFill="1" applyBorder="1">
      <alignment vertical="center"/>
    </xf>
    <xf numFmtId="56" fontId="11" fillId="3" borderId="41" xfId="0" applyNumberFormat="1" applyFont="1" applyFill="1" applyBorder="1">
      <alignment vertical="center"/>
    </xf>
    <xf numFmtId="56" fontId="11" fillId="3" borderId="42" xfId="0" applyNumberFormat="1" applyFont="1" applyFill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176" fontId="2" fillId="0" borderId="49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 shrinkToFit="1"/>
    </xf>
    <xf numFmtId="176" fontId="2" fillId="0" borderId="51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53" xfId="0" applyNumberFormat="1" applyFont="1" applyBorder="1" applyAlignment="1">
      <alignment horizontal="right" vertical="center"/>
    </xf>
    <xf numFmtId="176" fontId="2" fillId="0" borderId="54" xfId="0" applyNumberFormat="1" applyFont="1" applyBorder="1" applyAlignment="1">
      <alignment horizontal="right" vertical="center"/>
    </xf>
    <xf numFmtId="176" fontId="2" fillId="0" borderId="12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vertical="center" wrapText="1"/>
    </xf>
    <xf numFmtId="176" fontId="2" fillId="0" borderId="17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50" xfId="0" applyNumberFormat="1" applyFont="1" applyBorder="1">
      <alignment vertical="center"/>
    </xf>
    <xf numFmtId="176" fontId="2" fillId="0" borderId="52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2" fillId="0" borderId="53" xfId="0" applyNumberFormat="1" applyFont="1" applyBorder="1">
      <alignment vertical="center"/>
    </xf>
    <xf numFmtId="176" fontId="2" fillId="0" borderId="55" xfId="0" applyNumberFormat="1" applyFont="1" applyBorder="1">
      <alignment vertical="center"/>
    </xf>
    <xf numFmtId="176" fontId="2" fillId="0" borderId="12" xfId="0" applyNumberFormat="1" applyFont="1" applyBorder="1">
      <alignment vertical="center"/>
    </xf>
    <xf numFmtId="0" fontId="4" fillId="0" borderId="13" xfId="0" quotePrefix="1" applyFont="1" applyBorder="1" applyAlignment="1">
      <alignment horizontal="center" vertical="center"/>
    </xf>
    <xf numFmtId="176" fontId="2" fillId="0" borderId="38" xfId="0" applyNumberFormat="1" applyFont="1" applyBorder="1" applyAlignment="1">
      <alignment vertical="center" wrapText="1"/>
    </xf>
    <xf numFmtId="176" fontId="2" fillId="0" borderId="39" xfId="0" applyNumberFormat="1" applyFont="1" applyBorder="1">
      <alignment vertical="center"/>
    </xf>
    <xf numFmtId="176" fontId="2" fillId="0" borderId="37" xfId="0" applyNumberFormat="1" applyFont="1" applyBorder="1">
      <alignment vertical="center"/>
    </xf>
    <xf numFmtId="176" fontId="2" fillId="0" borderId="38" xfId="0" applyNumberFormat="1" applyFont="1" applyBorder="1">
      <alignment vertical="center"/>
    </xf>
    <xf numFmtId="176" fontId="2" fillId="0" borderId="44" xfId="0" applyNumberFormat="1" applyFont="1" applyBorder="1">
      <alignment vertical="center"/>
    </xf>
    <xf numFmtId="176" fontId="2" fillId="0" borderId="56" xfId="0" applyNumberFormat="1" applyFont="1" applyBorder="1">
      <alignment vertical="center"/>
    </xf>
    <xf numFmtId="56" fontId="2" fillId="2" borderId="17" xfId="0" applyNumberFormat="1" applyFont="1" applyFill="1" applyBorder="1">
      <alignment vertical="center"/>
    </xf>
    <xf numFmtId="56" fontId="2" fillId="2" borderId="18" xfId="0" applyNumberFormat="1" applyFont="1" applyFill="1" applyBorder="1">
      <alignment vertical="center"/>
    </xf>
    <xf numFmtId="56" fontId="11" fillId="2" borderId="19" xfId="0" applyNumberFormat="1" applyFont="1" applyFill="1" applyBorder="1">
      <alignment vertical="center"/>
    </xf>
    <xf numFmtId="56" fontId="11" fillId="2" borderId="17" xfId="0" applyNumberFormat="1" applyFont="1" applyFill="1" applyBorder="1">
      <alignment vertical="center"/>
    </xf>
    <xf numFmtId="56" fontId="11" fillId="2" borderId="18" xfId="0" applyNumberFormat="1" applyFont="1" applyFill="1" applyBorder="1">
      <alignment vertical="center"/>
    </xf>
    <xf numFmtId="56" fontId="2" fillId="2" borderId="19" xfId="0" applyNumberFormat="1" applyFont="1" applyFill="1" applyBorder="1">
      <alignment vertical="center"/>
    </xf>
    <xf numFmtId="176" fontId="2" fillId="0" borderId="57" xfId="0" applyNumberFormat="1" applyFont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0" fontId="13" fillId="0" borderId="2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30" xfId="0" applyFont="1" applyBorder="1">
      <alignment vertical="center"/>
    </xf>
    <xf numFmtId="56" fontId="2" fillId="0" borderId="30" xfId="0" applyNumberFormat="1" applyFont="1" applyBorder="1" applyAlignment="1">
      <alignment horizontal="center" vertical="center"/>
    </xf>
    <xf numFmtId="56" fontId="2" fillId="0" borderId="19" xfId="0" applyNumberFormat="1" applyFont="1" applyBorder="1">
      <alignment vertical="center"/>
    </xf>
    <xf numFmtId="56" fontId="11" fillId="0" borderId="19" xfId="0" applyNumberFormat="1" applyFont="1" applyBorder="1">
      <alignment vertical="center"/>
    </xf>
    <xf numFmtId="56" fontId="11" fillId="0" borderId="17" xfId="0" applyNumberFormat="1" applyFont="1" applyBorder="1">
      <alignment vertical="center"/>
    </xf>
    <xf numFmtId="56" fontId="11" fillId="0" borderId="18" xfId="0" applyNumberFormat="1" applyFont="1" applyBorder="1">
      <alignment vertical="center"/>
    </xf>
    <xf numFmtId="0" fontId="17" fillId="0" borderId="10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14" xfId="0" applyFont="1" applyBorder="1">
      <alignment vertical="center"/>
    </xf>
    <xf numFmtId="0" fontId="17" fillId="0" borderId="23" xfId="0" applyFont="1" applyBorder="1">
      <alignment vertical="center"/>
    </xf>
    <xf numFmtId="0" fontId="17" fillId="0" borderId="31" xfId="0" applyFont="1" applyBorder="1">
      <alignment vertical="center"/>
    </xf>
    <xf numFmtId="0" fontId="18" fillId="0" borderId="10" xfId="0" applyFont="1" applyBorder="1">
      <alignment vertical="center"/>
    </xf>
    <xf numFmtId="0" fontId="18" fillId="0" borderId="20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1" xfId="0" applyFont="1" applyBorder="1">
      <alignment vertical="center"/>
    </xf>
    <xf numFmtId="0" fontId="18" fillId="0" borderId="30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23" xfId="0" applyFont="1" applyBorder="1">
      <alignment vertical="center"/>
    </xf>
    <xf numFmtId="0" fontId="18" fillId="0" borderId="31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9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3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3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0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 applyAlignment="1">
      <alignment vertical="center" shrinkToFit="1"/>
    </xf>
    <xf numFmtId="0" fontId="2" fillId="0" borderId="30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2" xfId="0" applyFont="1" applyBorder="1">
      <alignment vertical="center"/>
    </xf>
    <xf numFmtId="0" fontId="4" fillId="0" borderId="4" xfId="0" applyFont="1" applyBorder="1" applyAlignment="1">
      <alignment horizontal="right" vertical="center" wrapText="1"/>
    </xf>
    <xf numFmtId="0" fontId="20" fillId="0" borderId="0" xfId="0" applyFont="1">
      <alignment vertical="center"/>
    </xf>
    <xf numFmtId="0" fontId="21" fillId="0" borderId="1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6" xfId="0" applyFont="1" applyBorder="1" applyAlignment="1">
      <alignment horizontal="center" vertical="center" shrinkToFit="1"/>
    </xf>
    <xf numFmtId="0" fontId="22" fillId="0" borderId="29" xfId="0" applyFont="1" applyBorder="1">
      <alignment vertical="center"/>
    </xf>
    <xf numFmtId="0" fontId="21" fillId="0" borderId="30" xfId="0" applyFont="1" applyBorder="1" applyAlignment="1">
      <alignment horizontal="center" vertical="center" shrinkToFit="1"/>
    </xf>
    <xf numFmtId="176" fontId="2" fillId="5" borderId="21" xfId="0" applyNumberFormat="1" applyFont="1" applyFill="1" applyBorder="1" applyAlignment="1">
      <alignment horizontal="right" vertical="center"/>
    </xf>
    <xf numFmtId="176" fontId="2" fillId="5" borderId="6" xfId="0" applyNumberFormat="1" applyFont="1" applyFill="1" applyBorder="1" applyAlignment="1">
      <alignment horizontal="right" vertical="center"/>
    </xf>
    <xf numFmtId="176" fontId="2" fillId="5" borderId="24" xfId="0" applyNumberFormat="1" applyFont="1" applyFill="1" applyBorder="1" applyAlignment="1">
      <alignment horizontal="right" vertical="center"/>
    </xf>
    <xf numFmtId="176" fontId="2" fillId="5" borderId="57" xfId="0" applyNumberFormat="1" applyFont="1" applyFill="1" applyBorder="1" applyAlignment="1">
      <alignment horizontal="right" vertical="center"/>
    </xf>
    <xf numFmtId="176" fontId="2" fillId="5" borderId="16" xfId="0" applyNumberFormat="1" applyFont="1" applyFill="1" applyBorder="1" applyAlignment="1">
      <alignment horizontal="right" vertical="center"/>
    </xf>
    <xf numFmtId="176" fontId="2" fillId="5" borderId="17" xfId="0" applyNumberFormat="1" applyFont="1" applyFill="1" applyBorder="1" applyAlignment="1">
      <alignment horizontal="right" vertical="center"/>
    </xf>
    <xf numFmtId="176" fontId="2" fillId="5" borderId="19" xfId="0" applyNumberFormat="1" applyFont="1" applyFill="1" applyBorder="1" applyAlignment="1">
      <alignment horizontal="right" vertical="center"/>
    </xf>
    <xf numFmtId="176" fontId="2" fillId="5" borderId="53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5" borderId="18" xfId="0" applyNumberFormat="1" applyFont="1" applyFill="1" applyBorder="1" applyAlignment="1">
      <alignment horizontal="right" vertical="center"/>
    </xf>
    <xf numFmtId="176" fontId="2" fillId="5" borderId="34" xfId="0" applyNumberFormat="1" applyFont="1" applyFill="1" applyBorder="1" applyAlignment="1">
      <alignment horizontal="right" vertical="center"/>
    </xf>
    <xf numFmtId="176" fontId="2" fillId="5" borderId="37" xfId="0" applyNumberFormat="1" applyFont="1" applyFill="1" applyBorder="1" applyAlignment="1">
      <alignment horizontal="right" vertical="center"/>
    </xf>
    <xf numFmtId="56" fontId="2" fillId="5" borderId="38" xfId="0" applyNumberFormat="1" applyFont="1" applyFill="1" applyBorder="1" applyAlignment="1">
      <alignment vertical="center" shrinkToFit="1"/>
    </xf>
    <xf numFmtId="56" fontId="2" fillId="5" borderId="44" xfId="0" applyNumberFormat="1" applyFont="1" applyFill="1" applyBorder="1" applyAlignment="1">
      <alignment vertical="center" shrinkToFit="1"/>
    </xf>
    <xf numFmtId="56" fontId="2" fillId="5" borderId="39" xfId="0" applyNumberFormat="1" applyFont="1" applyFill="1" applyBorder="1" applyAlignment="1">
      <alignment vertical="center" shrinkToFit="1"/>
    </xf>
    <xf numFmtId="56" fontId="2" fillId="5" borderId="37" xfId="0" applyNumberFormat="1" applyFont="1" applyFill="1" applyBorder="1" applyAlignment="1">
      <alignment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0" borderId="59" xfId="0" applyFont="1" applyBorder="1">
      <alignment vertical="center"/>
    </xf>
    <xf numFmtId="0" fontId="15" fillId="0" borderId="60" xfId="0" applyFont="1" applyBorder="1">
      <alignment vertical="center"/>
    </xf>
    <xf numFmtId="0" fontId="15" fillId="0" borderId="61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60" xfId="0" applyFont="1" applyBorder="1">
      <alignment vertical="center"/>
    </xf>
    <xf numFmtId="0" fontId="10" fillId="0" borderId="61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61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1" xfId="0" applyFont="1" applyBorder="1">
      <alignment vertical="center"/>
    </xf>
    <xf numFmtId="0" fontId="9" fillId="0" borderId="62" xfId="0" applyFont="1" applyBorder="1">
      <alignment vertical="center"/>
    </xf>
    <xf numFmtId="0" fontId="9" fillId="0" borderId="60" xfId="0" applyFont="1" applyBorder="1">
      <alignment vertical="center"/>
    </xf>
    <xf numFmtId="0" fontId="3" fillId="0" borderId="60" xfId="0" quotePrefix="1" applyFont="1" applyBorder="1">
      <alignment vertical="center"/>
    </xf>
    <xf numFmtId="0" fontId="9" fillId="0" borderId="61" xfId="0" applyFont="1" applyBorder="1">
      <alignment vertical="center"/>
    </xf>
    <xf numFmtId="0" fontId="0" fillId="0" borderId="63" xfId="0" applyBorder="1">
      <alignment vertical="center"/>
    </xf>
    <xf numFmtId="0" fontId="3" fillId="0" borderId="58" xfId="0" applyFont="1" applyBorder="1">
      <alignment vertical="center"/>
    </xf>
    <xf numFmtId="0" fontId="15" fillId="0" borderId="63" xfId="0" applyFont="1" applyBorder="1">
      <alignment vertical="center"/>
    </xf>
    <xf numFmtId="0" fontId="17" fillId="0" borderId="63" xfId="0" applyFont="1" applyBorder="1">
      <alignment vertical="center"/>
    </xf>
    <xf numFmtId="0" fontId="10" fillId="0" borderId="63" xfId="0" applyFont="1" applyBorder="1">
      <alignment vertical="center"/>
    </xf>
    <xf numFmtId="0" fontId="18" fillId="0" borderId="63" xfId="0" applyFont="1" applyBorder="1">
      <alignment vertical="center"/>
    </xf>
    <xf numFmtId="0" fontId="14" fillId="0" borderId="63" xfId="0" applyFont="1" applyBorder="1">
      <alignment vertical="center"/>
    </xf>
    <xf numFmtId="0" fontId="19" fillId="0" borderId="63" xfId="0" applyFont="1" applyBorder="1">
      <alignment vertical="center"/>
    </xf>
    <xf numFmtId="0" fontId="13" fillId="0" borderId="63" xfId="0" applyFont="1" applyBorder="1">
      <alignment vertical="center"/>
    </xf>
    <xf numFmtId="0" fontId="2" fillId="0" borderId="63" xfId="0" applyFont="1" applyBorder="1">
      <alignment vertical="center"/>
    </xf>
    <xf numFmtId="0" fontId="3" fillId="0" borderId="63" xfId="0" applyFont="1" applyBorder="1">
      <alignment vertical="center"/>
    </xf>
    <xf numFmtId="0" fontId="4" fillId="0" borderId="63" xfId="0" applyFont="1" applyBorder="1">
      <alignment vertical="center"/>
    </xf>
    <xf numFmtId="0" fontId="9" fillId="0" borderId="63" xfId="0" applyFont="1" applyBorder="1">
      <alignment vertical="center"/>
    </xf>
    <xf numFmtId="0" fontId="8" fillId="0" borderId="63" xfId="0" applyFont="1" applyBorder="1">
      <alignment vertical="center"/>
    </xf>
    <xf numFmtId="0" fontId="20" fillId="0" borderId="63" xfId="0" applyFont="1" applyBorder="1">
      <alignment vertical="center"/>
    </xf>
    <xf numFmtId="0" fontId="21" fillId="4" borderId="63" xfId="0" applyFont="1" applyFill="1" applyBorder="1">
      <alignment vertical="center"/>
    </xf>
    <xf numFmtId="0" fontId="14" fillId="6" borderId="63" xfId="0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63" xfId="0" applyBorder="1" applyAlignment="1">
      <alignment horizontal="center" vertical="center"/>
    </xf>
    <xf numFmtId="0" fontId="2" fillId="6" borderId="63" xfId="0" applyFont="1" applyFill="1" applyBorder="1">
      <alignment vertical="center"/>
    </xf>
    <xf numFmtId="0" fontId="23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3" fillId="0" borderId="39" xfId="0" applyFont="1" applyBorder="1" applyAlignment="1">
      <alignment horizontal="center" vertical="center"/>
    </xf>
    <xf numFmtId="0" fontId="15" fillId="0" borderId="34" xfId="0" applyFont="1" applyBorder="1">
      <alignment vertical="center"/>
    </xf>
    <xf numFmtId="0" fontId="15" fillId="0" borderId="35" xfId="0" applyFont="1" applyBorder="1">
      <alignment vertical="center"/>
    </xf>
    <xf numFmtId="0" fontId="10" fillId="0" borderId="34" xfId="0" applyFont="1" applyBorder="1">
      <alignment vertical="center"/>
    </xf>
    <xf numFmtId="0" fontId="10" fillId="0" borderId="35" xfId="0" applyFont="1" applyBorder="1">
      <alignment vertical="center"/>
    </xf>
    <xf numFmtId="0" fontId="14" fillId="0" borderId="34" xfId="0" applyFont="1" applyBorder="1">
      <alignment vertical="center"/>
    </xf>
    <xf numFmtId="0" fontId="14" fillId="0" borderId="35" xfId="0" applyFont="1" applyBorder="1">
      <alignment vertical="center"/>
    </xf>
    <xf numFmtId="0" fontId="13" fillId="0" borderId="34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5" xfId="0" applyFont="1" applyBorder="1" applyAlignment="1">
      <alignment horizontal="right" vertical="center" wrapText="1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7" xfId="0" applyFont="1" applyBorder="1">
      <alignment vertical="center"/>
    </xf>
    <xf numFmtId="0" fontId="14" fillId="0" borderId="18" xfId="0" applyFont="1" applyBorder="1">
      <alignment vertical="center"/>
    </xf>
    <xf numFmtId="0" fontId="13" fillId="0" borderId="12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23" fillId="0" borderId="39" xfId="0" applyFont="1" applyBorder="1" applyAlignment="1">
      <alignment horizontal="left" vertical="center"/>
    </xf>
    <xf numFmtId="0" fontId="24" fillId="4" borderId="63" xfId="0" applyFont="1" applyFill="1" applyBorder="1">
      <alignment vertical="center"/>
    </xf>
    <xf numFmtId="0" fontId="25" fillId="4" borderId="17" xfId="0" applyFont="1" applyFill="1" applyBorder="1" applyAlignment="1">
      <alignment horizontal="left" vertical="center"/>
    </xf>
    <xf numFmtId="0" fontId="24" fillId="4" borderId="17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left" vertical="center"/>
    </xf>
    <xf numFmtId="0" fontId="9" fillId="4" borderId="63" xfId="0" applyFont="1" applyFill="1" applyBorder="1">
      <alignment vertical="center"/>
    </xf>
    <xf numFmtId="0" fontId="23" fillId="7" borderId="17" xfId="0" applyFont="1" applyFill="1" applyBorder="1" applyAlignment="1">
      <alignment horizontal="left" vertical="center"/>
    </xf>
    <xf numFmtId="0" fontId="23" fillId="7" borderId="17" xfId="0" applyFont="1" applyFill="1" applyBorder="1" applyAlignment="1">
      <alignment horizontal="center" vertical="center"/>
    </xf>
    <xf numFmtId="0" fontId="0" fillId="7" borderId="63" xfId="0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60" xfId="0" applyFont="1" applyFill="1" applyBorder="1">
      <alignment vertical="center"/>
    </xf>
    <xf numFmtId="0" fontId="3" fillId="7" borderId="59" xfId="0" applyFont="1" applyFill="1" applyBorder="1">
      <alignment vertical="center"/>
    </xf>
    <xf numFmtId="0" fontId="3" fillId="7" borderId="63" xfId="0" applyFont="1" applyFill="1" applyBorder="1">
      <alignment vertical="center"/>
    </xf>
    <xf numFmtId="0" fontId="4" fillId="7" borderId="63" xfId="0" applyFont="1" applyFill="1" applyBorder="1">
      <alignment vertical="center"/>
    </xf>
    <xf numFmtId="0" fontId="3" fillId="7" borderId="17" xfId="0" applyFont="1" applyFill="1" applyBorder="1">
      <alignment vertical="center"/>
    </xf>
    <xf numFmtId="0" fontId="13" fillId="7" borderId="16" xfId="0" applyFont="1" applyFill="1" applyBorder="1" applyAlignment="1">
      <alignment horizontal="left" vertical="center"/>
    </xf>
    <xf numFmtId="0" fontId="13" fillId="7" borderId="59" xfId="0" applyFont="1" applyFill="1" applyBorder="1">
      <alignment vertical="center"/>
    </xf>
    <xf numFmtId="0" fontId="13" fillId="7" borderId="63" xfId="0" applyFont="1" applyFill="1" applyBorder="1">
      <alignment vertical="center"/>
    </xf>
    <xf numFmtId="0" fontId="2" fillId="7" borderId="63" xfId="0" applyFont="1" applyFill="1" applyBorder="1">
      <alignment vertical="center"/>
    </xf>
    <xf numFmtId="0" fontId="21" fillId="7" borderId="63" xfId="0" applyFont="1" applyFill="1" applyBorder="1">
      <alignment vertical="center"/>
    </xf>
    <xf numFmtId="0" fontId="9" fillId="7" borderId="63" xfId="0" applyFont="1" applyFill="1" applyBorder="1">
      <alignment vertical="center"/>
    </xf>
    <xf numFmtId="0" fontId="3" fillId="7" borderId="63" xfId="0" applyFont="1" applyFill="1" applyBorder="1" applyAlignment="1">
      <alignment vertical="center" shrinkToFit="1"/>
    </xf>
    <xf numFmtId="0" fontId="4" fillId="7" borderId="63" xfId="0" applyFont="1" applyFill="1" applyBorder="1" applyAlignment="1">
      <alignment vertical="center" shrinkToFit="1"/>
    </xf>
    <xf numFmtId="22" fontId="0" fillId="0" borderId="0" xfId="0" applyNumberFormat="1">
      <alignment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>
      <alignment vertical="center"/>
    </xf>
    <xf numFmtId="0" fontId="26" fillId="0" borderId="60" xfId="0" applyFont="1" applyBorder="1">
      <alignment vertical="center"/>
    </xf>
    <xf numFmtId="0" fontId="26" fillId="0" borderId="63" xfId="0" applyFont="1" applyBorder="1">
      <alignment vertical="center"/>
    </xf>
    <xf numFmtId="0" fontId="27" fillId="0" borderId="63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24" fillId="0" borderId="36" xfId="0" applyFont="1" applyBorder="1">
      <alignment vertical="center"/>
    </xf>
    <xf numFmtId="0" fontId="28" fillId="0" borderId="36" xfId="0" applyFont="1" applyBorder="1">
      <alignment vertical="center"/>
    </xf>
    <xf numFmtId="0" fontId="9" fillId="0" borderId="35" xfId="0" applyFont="1" applyBorder="1">
      <alignment vertical="center"/>
    </xf>
    <xf numFmtId="0" fontId="3" fillId="0" borderId="63" xfId="0" applyFont="1" applyBorder="1" applyAlignment="1">
      <alignment horizontal="center" vertical="center"/>
    </xf>
    <xf numFmtId="0" fontId="9" fillId="6" borderId="36" xfId="0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>
      <alignment vertical="center"/>
    </xf>
    <xf numFmtId="0" fontId="3" fillId="0" borderId="4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16" xfId="0" applyFont="1" applyBorder="1">
      <alignment vertical="center"/>
    </xf>
    <xf numFmtId="0" fontId="2" fillId="0" borderId="16" xfId="0" applyFont="1" applyBorder="1">
      <alignment vertical="center"/>
    </xf>
    <xf numFmtId="0" fontId="0" fillId="0" borderId="16" xfId="0" applyBorder="1">
      <alignment vertical="center"/>
    </xf>
    <xf numFmtId="0" fontId="9" fillId="0" borderId="36" xfId="0" applyFont="1" applyBorder="1">
      <alignment vertical="center"/>
    </xf>
    <xf numFmtId="0" fontId="0" fillId="0" borderId="64" xfId="0" applyBorder="1">
      <alignment vertical="center"/>
    </xf>
    <xf numFmtId="0" fontId="0" fillId="0" borderId="66" xfId="0" applyBorder="1">
      <alignment vertical="center"/>
    </xf>
    <xf numFmtId="0" fontId="0" fillId="0" borderId="65" xfId="0" applyBorder="1">
      <alignment vertical="center"/>
    </xf>
    <xf numFmtId="0" fontId="29" fillId="0" borderId="0" xfId="0" applyFo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9" xfId="0" applyFont="1" applyBorder="1">
      <alignment vertical="center"/>
    </xf>
    <xf numFmtId="0" fontId="2" fillId="6" borderId="16" xfId="0" applyFont="1" applyFill="1" applyBorder="1">
      <alignment vertical="center"/>
    </xf>
    <xf numFmtId="176" fontId="2" fillId="5" borderId="67" xfId="0" applyNumberFormat="1" applyFont="1" applyFill="1" applyBorder="1" applyAlignment="1">
      <alignment horizontal="right" vertical="center"/>
    </xf>
    <xf numFmtId="176" fontId="2" fillId="0" borderId="35" xfId="0" applyNumberFormat="1" applyFont="1" applyBorder="1">
      <alignment vertical="center"/>
    </xf>
    <xf numFmtId="56" fontId="2" fillId="2" borderId="13" xfId="0" applyNumberFormat="1" applyFont="1" applyFill="1" applyBorder="1">
      <alignment vertical="center"/>
    </xf>
    <xf numFmtId="56" fontId="2" fillId="0" borderId="17" xfId="0" applyNumberFormat="1" applyFont="1" applyBorder="1" applyAlignment="1">
      <alignment horizontal="right" vertical="center"/>
    </xf>
    <xf numFmtId="56" fontId="2" fillId="0" borderId="30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56" fontId="2" fillId="6" borderId="19" xfId="0" applyNumberFormat="1" applyFont="1" applyFill="1" applyBorder="1">
      <alignment vertical="center"/>
    </xf>
    <xf numFmtId="56" fontId="2" fillId="6" borderId="17" xfId="0" applyNumberFormat="1" applyFont="1" applyFill="1" applyBorder="1">
      <alignment vertical="center"/>
    </xf>
    <xf numFmtId="56" fontId="2" fillId="6" borderId="18" xfId="0" applyNumberFormat="1" applyFont="1" applyFill="1" applyBorder="1">
      <alignment vertical="center"/>
    </xf>
    <xf numFmtId="56" fontId="2" fillId="6" borderId="12" xfId="0" applyNumberFormat="1" applyFont="1" applyFill="1" applyBorder="1">
      <alignment vertical="center"/>
    </xf>
    <xf numFmtId="56" fontId="2" fillId="6" borderId="13" xfId="0" applyNumberFormat="1" applyFont="1" applyFill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56" fontId="2" fillId="0" borderId="38" xfId="0" applyNumberFormat="1" applyFont="1" applyBorder="1">
      <alignment vertical="center"/>
    </xf>
    <xf numFmtId="56" fontId="2" fillId="0" borderId="39" xfId="0" applyNumberFormat="1" applyFont="1" applyBorder="1">
      <alignment vertical="center"/>
    </xf>
    <xf numFmtId="0" fontId="4" fillId="0" borderId="68" xfId="0" applyFont="1" applyBorder="1" applyAlignment="1">
      <alignment horizontal="center" vertical="center" wrapText="1"/>
    </xf>
    <xf numFmtId="56" fontId="2" fillId="2" borderId="71" xfId="0" applyNumberFormat="1" applyFont="1" applyFill="1" applyBorder="1">
      <alignment vertical="center"/>
    </xf>
    <xf numFmtId="56" fontId="2" fillId="2" borderId="72" xfId="0" applyNumberFormat="1" applyFont="1" applyFill="1" applyBorder="1">
      <alignment vertical="center"/>
    </xf>
    <xf numFmtId="56" fontId="2" fillId="2" borderId="73" xfId="0" applyNumberFormat="1" applyFont="1" applyFill="1" applyBorder="1">
      <alignment vertical="center"/>
    </xf>
    <xf numFmtId="56" fontId="2" fillId="0" borderId="16" xfId="0" applyNumberFormat="1" applyFont="1" applyBorder="1" applyAlignment="1">
      <alignment horizontal="center" vertical="center" shrinkToFit="1"/>
    </xf>
    <xf numFmtId="56" fontId="2" fillId="0" borderId="17" xfId="0" applyNumberFormat="1" applyFont="1" applyBorder="1" applyAlignment="1">
      <alignment horizontal="center" vertical="center" shrinkToFit="1"/>
    </xf>
    <xf numFmtId="56" fontId="2" fillId="0" borderId="18" xfId="0" applyNumberFormat="1" applyFont="1" applyBorder="1" applyAlignment="1">
      <alignment horizontal="center" vertical="center" shrinkToFit="1"/>
    </xf>
    <xf numFmtId="56" fontId="2" fillId="0" borderId="1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56" fontId="2" fillId="0" borderId="0" xfId="0" applyNumberFormat="1" applyFont="1">
      <alignment vertical="center"/>
    </xf>
    <xf numFmtId="56" fontId="11" fillId="0" borderId="0" xfId="0" applyNumberFormat="1" applyFont="1">
      <alignment vertical="center"/>
    </xf>
    <xf numFmtId="177" fontId="2" fillId="0" borderId="12" xfId="0" applyNumberFormat="1" applyFont="1" applyBorder="1">
      <alignment vertical="center"/>
    </xf>
    <xf numFmtId="56" fontId="2" fillId="4" borderId="17" xfId="0" applyNumberFormat="1" applyFont="1" applyFill="1" applyBorder="1">
      <alignment vertical="center"/>
    </xf>
    <xf numFmtId="56" fontId="2" fillId="4" borderId="30" xfId="0" applyNumberFormat="1" applyFont="1" applyFill="1" applyBorder="1">
      <alignment vertical="center"/>
    </xf>
    <xf numFmtId="0" fontId="2" fillId="4" borderId="6" xfId="0" applyFont="1" applyFill="1" applyBorder="1" applyAlignment="1">
      <alignment horizontal="center" vertical="center" shrinkToFit="1"/>
    </xf>
    <xf numFmtId="176" fontId="2" fillId="4" borderId="44" xfId="0" applyNumberFormat="1" applyFont="1" applyFill="1" applyBorder="1">
      <alignment vertical="center"/>
    </xf>
    <xf numFmtId="176" fontId="2" fillId="4" borderId="56" xfId="0" applyNumberFormat="1" applyFont="1" applyFill="1" applyBorder="1">
      <alignment vertical="center"/>
    </xf>
    <xf numFmtId="176" fontId="2" fillId="4" borderId="17" xfId="0" applyNumberFormat="1" applyFont="1" applyFill="1" applyBorder="1">
      <alignment vertical="center"/>
    </xf>
    <xf numFmtId="176" fontId="2" fillId="4" borderId="3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vertical="center" shrinkToFit="1"/>
    </xf>
    <xf numFmtId="0" fontId="2" fillId="4" borderId="16" xfId="0" applyFont="1" applyFill="1" applyBorder="1" applyAlignment="1">
      <alignment horizontal="center" vertical="center" shrinkToFit="1"/>
    </xf>
    <xf numFmtId="56" fontId="2" fillId="4" borderId="38" xfId="0" applyNumberFormat="1" applyFont="1" applyFill="1" applyBorder="1" applyAlignment="1">
      <alignment vertical="center" shrinkToFit="1"/>
    </xf>
    <xf numFmtId="56" fontId="2" fillId="4" borderId="19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vertical="center" shrinkToFit="1"/>
    </xf>
    <xf numFmtId="0" fontId="2" fillId="4" borderId="17" xfId="0" applyFont="1" applyFill="1" applyBorder="1" applyAlignment="1">
      <alignment horizontal="center" vertical="center" shrinkToFit="1"/>
    </xf>
    <xf numFmtId="56" fontId="2" fillId="4" borderId="39" xfId="0" applyNumberFormat="1" applyFont="1" applyFill="1" applyBorder="1" applyAlignment="1">
      <alignment vertical="center" shrinkToFit="1"/>
    </xf>
    <xf numFmtId="0" fontId="21" fillId="0" borderId="16" xfId="0" applyFont="1" applyBorder="1">
      <alignment vertical="center"/>
    </xf>
    <xf numFmtId="0" fontId="21" fillId="0" borderId="28" xfId="0" applyFont="1" applyBorder="1" applyAlignment="1">
      <alignment horizontal="center" vertical="center" shrinkToFit="1"/>
    </xf>
    <xf numFmtId="56" fontId="2" fillId="0" borderId="74" xfId="0" applyNumberFormat="1" applyFont="1" applyBorder="1">
      <alignment vertical="center"/>
    </xf>
    <xf numFmtId="0" fontId="2" fillId="0" borderId="75" xfId="0" applyFont="1" applyBorder="1" applyAlignment="1">
      <alignment horizontal="center" vertical="center" shrinkToFit="1"/>
    </xf>
    <xf numFmtId="176" fontId="2" fillId="5" borderId="74" xfId="0" applyNumberFormat="1" applyFont="1" applyFill="1" applyBorder="1" applyAlignment="1">
      <alignment horizontal="right" vertical="center"/>
    </xf>
    <xf numFmtId="176" fontId="2" fillId="0" borderId="74" xfId="0" applyNumberFormat="1" applyFont="1" applyBorder="1">
      <alignment vertical="center"/>
    </xf>
    <xf numFmtId="56" fontId="2" fillId="2" borderId="74" xfId="0" applyNumberFormat="1" applyFont="1" applyFill="1" applyBorder="1">
      <alignment vertical="center"/>
    </xf>
    <xf numFmtId="0" fontId="4" fillId="0" borderId="6" xfId="0" applyFont="1" applyBorder="1" applyAlignment="1">
      <alignment horizontal="center" vertical="center" shrinkToFit="1"/>
    </xf>
    <xf numFmtId="56" fontId="2" fillId="6" borderId="53" xfId="0" applyNumberFormat="1" applyFont="1" applyFill="1" applyBorder="1">
      <alignment vertical="center"/>
    </xf>
    <xf numFmtId="56" fontId="2" fillId="6" borderId="9" xfId="0" applyNumberFormat="1" applyFont="1" applyFill="1" applyBorder="1">
      <alignment vertical="center"/>
    </xf>
    <xf numFmtId="0" fontId="2" fillId="4" borderId="17" xfId="0" applyFont="1" applyFill="1" applyBorder="1">
      <alignment vertical="center"/>
    </xf>
    <xf numFmtId="178" fontId="2" fillId="4" borderId="17" xfId="0" applyNumberFormat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53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6" borderId="17" xfId="0" applyFont="1" applyFill="1" applyBorder="1">
      <alignment vertical="center"/>
    </xf>
    <xf numFmtId="0" fontId="2" fillId="6" borderId="18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2" fillId="6" borderId="12" xfId="0" applyFont="1" applyFill="1" applyBorder="1" applyAlignment="1">
      <alignment horizontal="center" vertical="center"/>
    </xf>
    <xf numFmtId="0" fontId="4" fillId="6" borderId="19" xfId="0" applyFont="1" applyFill="1" applyBorder="1">
      <alignment vertical="center"/>
    </xf>
    <xf numFmtId="178" fontId="2" fillId="6" borderId="53" xfId="0" applyNumberFormat="1" applyFont="1" applyFill="1" applyBorder="1">
      <alignment vertical="center"/>
    </xf>
    <xf numFmtId="178" fontId="2" fillId="6" borderId="19" xfId="0" applyNumberFormat="1" applyFont="1" applyFill="1" applyBorder="1">
      <alignment vertical="center"/>
    </xf>
    <xf numFmtId="178" fontId="2" fillId="6" borderId="17" xfId="0" applyNumberFormat="1" applyFont="1" applyFill="1" applyBorder="1">
      <alignment vertical="center"/>
    </xf>
    <xf numFmtId="178" fontId="2" fillId="6" borderId="18" xfId="0" applyNumberFormat="1" applyFont="1" applyFill="1" applyBorder="1">
      <alignment vertical="center"/>
    </xf>
    <xf numFmtId="178" fontId="2" fillId="6" borderId="9" xfId="0" applyNumberFormat="1" applyFont="1" applyFill="1" applyBorder="1">
      <alignment vertical="center"/>
    </xf>
    <xf numFmtId="178" fontId="2" fillId="6" borderId="13" xfId="0" applyNumberFormat="1" applyFont="1" applyFill="1" applyBorder="1">
      <alignment vertical="center"/>
    </xf>
    <xf numFmtId="178" fontId="2" fillId="4" borderId="19" xfId="0" applyNumberFormat="1" applyFont="1" applyFill="1" applyBorder="1">
      <alignment vertical="center"/>
    </xf>
    <xf numFmtId="178" fontId="2" fillId="6" borderId="12" xfId="0" applyNumberFormat="1" applyFont="1" applyFill="1" applyBorder="1">
      <alignment vertical="center"/>
    </xf>
    <xf numFmtId="0" fontId="2" fillId="4" borderId="16" xfId="0" applyFont="1" applyFill="1" applyBorder="1">
      <alignment vertical="center"/>
    </xf>
    <xf numFmtId="0" fontId="21" fillId="4" borderId="16" xfId="0" applyFont="1" applyFill="1" applyBorder="1">
      <alignment vertical="center"/>
    </xf>
    <xf numFmtId="56" fontId="2" fillId="4" borderId="9" xfId="0" applyNumberFormat="1" applyFont="1" applyFill="1" applyBorder="1" applyAlignment="1">
      <alignment horizontal="right" vertical="center"/>
    </xf>
    <xf numFmtId="56" fontId="2" fillId="4" borderId="26" xfId="0" applyNumberFormat="1" applyFont="1" applyFill="1" applyBorder="1" applyAlignment="1">
      <alignment horizontal="right" vertical="center"/>
    </xf>
    <xf numFmtId="0" fontId="2" fillId="4" borderId="26" xfId="0" applyFont="1" applyFill="1" applyBorder="1" applyAlignment="1">
      <alignment horizontal="center" vertical="center" shrinkToFit="1"/>
    </xf>
    <xf numFmtId="176" fontId="2" fillId="4" borderId="34" xfId="0" applyNumberFormat="1" applyFont="1" applyFill="1" applyBorder="1">
      <alignment vertical="center"/>
    </xf>
    <xf numFmtId="56" fontId="2" fillId="4" borderId="12" xfId="0" applyNumberFormat="1" applyFont="1" applyFill="1" applyBorder="1">
      <alignment vertical="center"/>
    </xf>
    <xf numFmtId="56" fontId="2" fillId="4" borderId="17" xfId="0" applyNumberFormat="1" applyFont="1" applyFill="1" applyBorder="1" applyAlignment="1">
      <alignment horizontal="right" vertical="center"/>
    </xf>
    <xf numFmtId="56" fontId="2" fillId="4" borderId="30" xfId="0" applyNumberFormat="1" applyFont="1" applyFill="1" applyBorder="1" applyAlignment="1">
      <alignment horizontal="right" vertical="center"/>
    </xf>
    <xf numFmtId="0" fontId="2" fillId="4" borderId="30" xfId="0" applyFont="1" applyFill="1" applyBorder="1" applyAlignment="1">
      <alignment horizontal="center" vertical="center" shrinkToFit="1"/>
    </xf>
    <xf numFmtId="0" fontId="2" fillId="6" borderId="9" xfId="0" applyFont="1" applyFill="1" applyBorder="1" applyAlignment="1">
      <alignment horizontal="center" vertical="center"/>
    </xf>
    <xf numFmtId="0" fontId="4" fillId="6" borderId="12" xfId="0" applyFont="1" applyFill="1" applyBorder="1">
      <alignment vertical="center"/>
    </xf>
    <xf numFmtId="0" fontId="2" fillId="0" borderId="12" xfId="0" applyFont="1" applyBorder="1">
      <alignment vertical="center"/>
    </xf>
    <xf numFmtId="0" fontId="27" fillId="0" borderId="17" xfId="0" applyFont="1" applyBorder="1">
      <alignment vertical="center"/>
    </xf>
    <xf numFmtId="0" fontId="4" fillId="4" borderId="17" xfId="0" applyFont="1" applyFill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4" borderId="9" xfId="0" applyFont="1" applyFill="1" applyBorder="1">
      <alignment vertical="center"/>
    </xf>
    <xf numFmtId="0" fontId="21" fillId="0" borderId="17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/>
    </xf>
    <xf numFmtId="0" fontId="30" fillId="0" borderId="0" xfId="0" applyFont="1">
      <alignment vertical="center"/>
    </xf>
    <xf numFmtId="56" fontId="2" fillId="0" borderId="71" xfId="0" applyNumberFormat="1" applyFont="1" applyBorder="1">
      <alignment vertical="center"/>
    </xf>
    <xf numFmtId="56" fontId="2" fillId="0" borderId="72" xfId="0" applyNumberFormat="1" applyFont="1" applyBorder="1">
      <alignment vertical="center"/>
    </xf>
    <xf numFmtId="56" fontId="2" fillId="0" borderId="73" xfId="0" applyNumberFormat="1" applyFont="1" applyBorder="1">
      <alignment vertical="center"/>
    </xf>
    <xf numFmtId="56" fontId="2" fillId="0" borderId="13" xfId="0" applyNumberFormat="1" applyFont="1" applyBorder="1">
      <alignment vertical="center"/>
    </xf>
    <xf numFmtId="176" fontId="2" fillId="5" borderId="5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8" fontId="4" fillId="0" borderId="12" xfId="0" applyNumberFormat="1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178" fontId="4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4" borderId="63" xfId="0" applyFont="1" applyFill="1" applyBorder="1">
      <alignment vertical="center"/>
    </xf>
    <xf numFmtId="56" fontId="2" fillId="0" borderId="37" xfId="0" applyNumberFormat="1" applyFont="1" applyBorder="1" applyAlignment="1">
      <alignment horizontal="right" vertical="center"/>
    </xf>
    <xf numFmtId="0" fontId="21" fillId="0" borderId="18" xfId="0" applyFont="1" applyBorder="1">
      <alignment vertical="center"/>
    </xf>
    <xf numFmtId="0" fontId="4" fillId="4" borderId="16" xfId="0" applyFont="1" applyFill="1" applyBorder="1">
      <alignment vertical="center"/>
    </xf>
    <xf numFmtId="56" fontId="2" fillId="4" borderId="16" xfId="0" applyNumberFormat="1" applyFont="1" applyFill="1" applyBorder="1">
      <alignment vertical="center"/>
    </xf>
    <xf numFmtId="56" fontId="2" fillId="4" borderId="29" xfId="0" applyNumberFormat="1" applyFont="1" applyFill="1" applyBorder="1">
      <alignment vertical="center"/>
    </xf>
    <xf numFmtId="0" fontId="2" fillId="4" borderId="21" xfId="0" applyFont="1" applyFill="1" applyBorder="1" applyAlignment="1">
      <alignment horizontal="center" vertical="center" shrinkToFit="1"/>
    </xf>
    <xf numFmtId="56" fontId="2" fillId="4" borderId="0" xfId="0" applyNumberFormat="1" applyFont="1" applyFill="1">
      <alignment vertical="center"/>
    </xf>
    <xf numFmtId="178" fontId="31" fillId="4" borderId="16" xfId="0" applyNumberFormat="1" applyFont="1" applyFill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56" fontId="2" fillId="6" borderId="9" xfId="0" applyNumberFormat="1" applyFont="1" applyFill="1" applyBorder="1" applyAlignment="1">
      <alignment horizontal="right" vertical="center"/>
    </xf>
    <xf numFmtId="56" fontId="2" fillId="6" borderId="26" xfId="0" applyNumberFormat="1" applyFont="1" applyFill="1" applyBorder="1" applyAlignment="1">
      <alignment horizontal="right" vertical="center"/>
    </xf>
    <xf numFmtId="0" fontId="2" fillId="6" borderId="26" xfId="0" applyFont="1" applyFill="1" applyBorder="1" applyAlignment="1">
      <alignment horizontal="center" vertical="center" shrinkToFit="1"/>
    </xf>
    <xf numFmtId="176" fontId="2" fillId="6" borderId="16" xfId="0" applyNumberFormat="1" applyFont="1" applyFill="1" applyBorder="1" applyAlignment="1">
      <alignment horizontal="right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56" fontId="2" fillId="6" borderId="17" xfId="0" applyNumberFormat="1" applyFont="1" applyFill="1" applyBorder="1" applyAlignment="1">
      <alignment horizontal="right" vertical="center"/>
    </xf>
    <xf numFmtId="56" fontId="2" fillId="6" borderId="30" xfId="0" applyNumberFormat="1" applyFont="1" applyFill="1" applyBorder="1" applyAlignment="1">
      <alignment horizontal="right" vertical="center"/>
    </xf>
    <xf numFmtId="0" fontId="2" fillId="6" borderId="30" xfId="0" applyFont="1" applyFill="1" applyBorder="1" applyAlignment="1">
      <alignment horizontal="center" vertical="center" shrinkToFit="1"/>
    </xf>
    <xf numFmtId="176" fontId="2" fillId="6" borderId="17" xfId="0" applyNumberFormat="1" applyFont="1" applyFill="1" applyBorder="1" applyAlignment="1">
      <alignment horizontal="right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16" xfId="0" applyFont="1" applyFill="1" applyBorder="1">
      <alignment vertical="center"/>
    </xf>
    <xf numFmtId="56" fontId="2" fillId="6" borderId="29" xfId="0" applyNumberFormat="1" applyFont="1" applyFill="1" applyBorder="1">
      <alignment vertical="center"/>
    </xf>
    <xf numFmtId="0" fontId="2" fillId="6" borderId="21" xfId="0" applyFont="1" applyFill="1" applyBorder="1" applyAlignment="1">
      <alignment horizontal="center" vertical="center" shrinkToFit="1"/>
    </xf>
    <xf numFmtId="0" fontId="4" fillId="6" borderId="0" xfId="0" applyFont="1" applyFill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17" xfId="0" applyFont="1" applyFill="1" applyBorder="1">
      <alignment vertical="center"/>
    </xf>
    <xf numFmtId="56" fontId="2" fillId="6" borderId="30" xfId="0" applyNumberFormat="1" applyFont="1" applyFill="1" applyBorder="1">
      <alignment vertical="center"/>
    </xf>
    <xf numFmtId="0" fontId="2" fillId="6" borderId="6" xfId="0" applyFont="1" applyFill="1" applyBorder="1" applyAlignment="1">
      <alignment horizontal="center" vertical="center" shrinkToFit="1"/>
    </xf>
    <xf numFmtId="176" fontId="2" fillId="6" borderId="12" xfId="0" applyNumberFormat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shrinkToFit="1"/>
    </xf>
    <xf numFmtId="0" fontId="4" fillId="6" borderId="18" xfId="0" applyFont="1" applyFill="1" applyBorder="1" applyAlignment="1">
      <alignment horizontal="center" vertical="center"/>
    </xf>
    <xf numFmtId="0" fontId="4" fillId="6" borderId="18" xfId="0" applyFont="1" applyFill="1" applyBorder="1">
      <alignment vertical="center"/>
    </xf>
    <xf numFmtId="56" fontId="2" fillId="6" borderId="31" xfId="0" applyNumberFormat="1" applyFont="1" applyFill="1" applyBorder="1">
      <alignment vertical="center"/>
    </xf>
    <xf numFmtId="0" fontId="2" fillId="6" borderId="24" xfId="0" applyFont="1" applyFill="1" applyBorder="1" applyAlignment="1">
      <alignment horizontal="center" vertical="center" shrinkToFit="1"/>
    </xf>
    <xf numFmtId="176" fontId="2" fillId="6" borderId="53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>
      <alignment vertical="center"/>
    </xf>
    <xf numFmtId="0" fontId="2" fillId="6" borderId="9" xfId="0" applyFont="1" applyFill="1" applyBorder="1" applyAlignment="1">
      <alignment horizontal="center" vertical="center" shrinkToFit="1"/>
    </xf>
    <xf numFmtId="0" fontId="21" fillId="6" borderId="17" xfId="0" applyFont="1" applyFill="1" applyBorder="1">
      <alignment vertical="center"/>
    </xf>
    <xf numFmtId="176" fontId="2" fillId="6" borderId="18" xfId="0" applyNumberFormat="1" applyFont="1" applyFill="1" applyBorder="1">
      <alignment vertical="center"/>
    </xf>
    <xf numFmtId="0" fontId="2" fillId="6" borderId="18" xfId="0" applyFont="1" applyFill="1" applyBorder="1" applyAlignment="1">
      <alignment horizontal="center" vertical="center" shrinkToFit="1"/>
    </xf>
    <xf numFmtId="176" fontId="2" fillId="6" borderId="18" xfId="0" applyNumberFormat="1" applyFont="1" applyFill="1" applyBorder="1" applyAlignment="1">
      <alignment horizontal="right" vertical="center"/>
    </xf>
    <xf numFmtId="0" fontId="4" fillId="6" borderId="9" xfId="0" applyFont="1" applyFill="1" applyBorder="1">
      <alignment vertical="center"/>
    </xf>
    <xf numFmtId="56" fontId="2" fillId="6" borderId="16" xfId="0" applyNumberFormat="1" applyFont="1" applyFill="1" applyBorder="1" applyAlignment="1">
      <alignment vertical="center" shrinkToFit="1"/>
    </xf>
    <xf numFmtId="0" fontId="2" fillId="6" borderId="16" xfId="0" applyFont="1" applyFill="1" applyBorder="1" applyAlignment="1">
      <alignment horizontal="center" vertical="center" shrinkToFit="1"/>
    </xf>
    <xf numFmtId="56" fontId="2" fillId="6" borderId="19" xfId="0" applyNumberFormat="1" applyFont="1" applyFill="1" applyBorder="1" applyAlignment="1">
      <alignment vertical="center" shrinkToFit="1"/>
    </xf>
    <xf numFmtId="0" fontId="2" fillId="6" borderId="19" xfId="0" applyFont="1" applyFill="1" applyBorder="1" applyAlignment="1">
      <alignment horizontal="center" vertical="center" shrinkToFit="1"/>
    </xf>
    <xf numFmtId="56" fontId="2" fillId="6" borderId="17" xfId="0" applyNumberFormat="1" applyFont="1" applyFill="1" applyBorder="1" applyAlignment="1">
      <alignment vertical="center" shrinkToFit="1"/>
    </xf>
    <xf numFmtId="0" fontId="4" fillId="6" borderId="3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shrinkToFit="1"/>
    </xf>
    <xf numFmtId="179" fontId="32" fillId="0" borderId="16" xfId="0" applyNumberFormat="1" applyFont="1" applyBorder="1" applyAlignment="1">
      <alignment horizontal="right" vertical="center"/>
    </xf>
    <xf numFmtId="179" fontId="32" fillId="0" borderId="16" xfId="0" applyNumberFormat="1" applyFont="1" applyBorder="1">
      <alignment vertical="center"/>
    </xf>
    <xf numFmtId="179" fontId="2" fillId="0" borderId="44" xfId="0" applyNumberFormat="1" applyFont="1" applyBorder="1" applyAlignment="1">
      <alignment horizontal="right" vertical="center"/>
    </xf>
    <xf numFmtId="179" fontId="2" fillId="0" borderId="37" xfId="0" applyNumberFormat="1" applyFont="1" applyBorder="1" applyAlignment="1">
      <alignment horizontal="right" vertical="center"/>
    </xf>
    <xf numFmtId="179" fontId="2" fillId="0" borderId="16" xfId="0" applyNumberFormat="1" applyFont="1" applyBorder="1" applyAlignment="1">
      <alignment horizontal="right" vertical="center"/>
    </xf>
    <xf numFmtId="179" fontId="2" fillId="0" borderId="17" xfId="0" applyNumberFormat="1" applyFont="1" applyBorder="1" applyAlignment="1">
      <alignment horizontal="right" vertical="center"/>
    </xf>
    <xf numFmtId="179" fontId="2" fillId="0" borderId="18" xfId="0" applyNumberFormat="1" applyFont="1" applyBorder="1" applyAlignment="1">
      <alignment horizontal="right" vertical="center"/>
    </xf>
    <xf numFmtId="179" fontId="4" fillId="0" borderId="16" xfId="0" applyNumberFormat="1" applyFont="1" applyBorder="1" applyAlignment="1">
      <alignment horizontal="right" vertical="center"/>
    </xf>
    <xf numFmtId="179" fontId="4" fillId="0" borderId="17" xfId="0" applyNumberFormat="1" applyFont="1" applyBorder="1" applyAlignment="1">
      <alignment horizontal="right" vertical="center"/>
    </xf>
    <xf numFmtId="179" fontId="4" fillId="0" borderId="18" xfId="0" applyNumberFormat="1" applyFont="1" applyBorder="1" applyAlignment="1">
      <alignment horizontal="right" vertical="center"/>
    </xf>
    <xf numFmtId="179" fontId="2" fillId="6" borderId="9" xfId="0" applyNumberFormat="1" applyFont="1" applyFill="1" applyBorder="1" applyAlignment="1">
      <alignment horizontal="right" vertical="center"/>
    </xf>
    <xf numFmtId="179" fontId="2" fillId="6" borderId="17" xfId="0" applyNumberFormat="1" applyFont="1" applyFill="1" applyBorder="1" applyAlignment="1">
      <alignment horizontal="right" vertical="center"/>
    </xf>
    <xf numFmtId="179" fontId="4" fillId="6" borderId="17" xfId="0" applyNumberFormat="1" applyFont="1" applyFill="1" applyBorder="1" applyAlignment="1">
      <alignment horizontal="right" vertical="center"/>
    </xf>
    <xf numFmtId="179" fontId="4" fillId="6" borderId="16" xfId="0" applyNumberFormat="1" applyFont="1" applyFill="1" applyBorder="1" applyAlignment="1">
      <alignment horizontal="right" vertical="center"/>
    </xf>
    <xf numFmtId="179" fontId="4" fillId="6" borderId="18" xfId="0" applyNumberFormat="1" applyFont="1" applyFill="1" applyBorder="1" applyAlignment="1">
      <alignment horizontal="right" vertical="center"/>
    </xf>
    <xf numFmtId="179" fontId="4" fillId="6" borderId="9" xfId="0" applyNumberFormat="1" applyFont="1" applyFill="1" applyBorder="1" applyAlignment="1">
      <alignment horizontal="right" vertical="center"/>
    </xf>
    <xf numFmtId="179" fontId="4" fillId="6" borderId="53" xfId="0" applyNumberFormat="1" applyFont="1" applyFill="1" applyBorder="1" applyAlignment="1">
      <alignment horizontal="right" vertical="center"/>
    </xf>
    <xf numFmtId="179" fontId="2" fillId="6" borderId="19" xfId="0" applyNumberFormat="1" applyFont="1" applyFill="1" applyBorder="1" applyAlignment="1">
      <alignment horizontal="right" vertical="center"/>
    </xf>
    <xf numFmtId="179" fontId="4" fillId="0" borderId="13" xfId="0" applyNumberFormat="1" applyFont="1" applyBorder="1" applyAlignment="1">
      <alignment horizontal="right" vertical="center"/>
    </xf>
    <xf numFmtId="56" fontId="2" fillId="0" borderId="38" xfId="0" applyNumberFormat="1" applyFont="1" applyBorder="1" applyAlignment="1">
      <alignment horizontal="right" vertical="center"/>
    </xf>
    <xf numFmtId="56" fontId="2" fillId="0" borderId="39" xfId="0" applyNumberFormat="1" applyFont="1" applyBorder="1" applyAlignment="1">
      <alignment horizontal="right" vertical="center"/>
    </xf>
    <xf numFmtId="56" fontId="2" fillId="0" borderId="18" xfId="0" applyNumberFormat="1" applyFont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horizontal="right" vertical="center"/>
    </xf>
    <xf numFmtId="176" fontId="2" fillId="6" borderId="9" xfId="0" applyNumberFormat="1" applyFont="1" applyFill="1" applyBorder="1" applyAlignment="1">
      <alignment horizontal="right" vertical="center"/>
    </xf>
    <xf numFmtId="56" fontId="2" fillId="6" borderId="16" xfId="0" applyNumberFormat="1" applyFont="1" applyFill="1" applyBorder="1" applyAlignment="1">
      <alignment horizontal="right" vertical="center" shrinkToFit="1"/>
    </xf>
    <xf numFmtId="56" fontId="2" fillId="6" borderId="19" xfId="0" applyNumberFormat="1" applyFont="1" applyFill="1" applyBorder="1" applyAlignment="1">
      <alignment horizontal="right" vertical="center" shrinkToFit="1"/>
    </xf>
    <xf numFmtId="56" fontId="2" fillId="6" borderId="17" xfId="0" applyNumberFormat="1" applyFont="1" applyFill="1" applyBorder="1" applyAlignment="1">
      <alignment horizontal="right" vertical="center" shrinkToFit="1"/>
    </xf>
    <xf numFmtId="56" fontId="2" fillId="0" borderId="18" xfId="0" applyNumberFormat="1" applyFont="1" applyBorder="1" applyAlignment="1">
      <alignment horizontal="right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" fillId="6" borderId="17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 shrinkToFit="1"/>
    </xf>
    <xf numFmtId="179" fontId="34" fillId="6" borderId="17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179" fontId="32" fillId="4" borderId="16" xfId="0" applyNumberFormat="1" applyFont="1" applyFill="1" applyBorder="1" applyAlignment="1">
      <alignment horizontal="right" vertical="center"/>
    </xf>
    <xf numFmtId="179" fontId="32" fillId="4" borderId="16" xfId="0" applyNumberFormat="1" applyFont="1" applyFill="1" applyBorder="1">
      <alignment vertical="center"/>
    </xf>
    <xf numFmtId="56" fontId="2" fillId="4" borderId="38" xfId="0" applyNumberFormat="1" applyFont="1" applyFill="1" applyBorder="1" applyAlignment="1">
      <alignment horizontal="right" vertical="center"/>
    </xf>
    <xf numFmtId="56" fontId="2" fillId="4" borderId="39" xfId="0" applyNumberFormat="1" applyFont="1" applyFill="1" applyBorder="1" applyAlignment="1">
      <alignment horizontal="right" vertical="center"/>
    </xf>
    <xf numFmtId="179" fontId="2" fillId="4" borderId="37" xfId="0" applyNumberFormat="1" applyFont="1" applyFill="1" applyBorder="1" applyAlignment="1">
      <alignment horizontal="right" vertical="center"/>
    </xf>
    <xf numFmtId="56" fontId="2" fillId="4" borderId="37" xfId="0" applyNumberFormat="1" applyFont="1" applyFill="1" applyBorder="1" applyAlignment="1">
      <alignment horizontal="right" vertical="center"/>
    </xf>
    <xf numFmtId="179" fontId="2" fillId="4" borderId="16" xfId="0" applyNumberFormat="1" applyFont="1" applyFill="1" applyBorder="1" applyAlignment="1">
      <alignment horizontal="right" vertical="center"/>
    </xf>
    <xf numFmtId="176" fontId="2" fillId="4" borderId="16" xfId="0" applyNumberFormat="1" applyFont="1" applyFill="1" applyBorder="1" applyAlignment="1">
      <alignment horizontal="right" vertical="center"/>
    </xf>
    <xf numFmtId="179" fontId="2" fillId="4" borderId="17" xfId="0" applyNumberFormat="1" applyFont="1" applyFill="1" applyBorder="1" applyAlignment="1">
      <alignment horizontal="right" vertical="center"/>
    </xf>
    <xf numFmtId="176" fontId="2" fillId="4" borderId="17" xfId="0" applyNumberFormat="1" applyFont="1" applyFill="1" applyBorder="1" applyAlignment="1">
      <alignment horizontal="right" vertical="center"/>
    </xf>
    <xf numFmtId="179" fontId="2" fillId="4" borderId="18" xfId="0" applyNumberFormat="1" applyFont="1" applyFill="1" applyBorder="1" applyAlignment="1">
      <alignment horizontal="right" vertical="center"/>
    </xf>
    <xf numFmtId="176" fontId="2" fillId="4" borderId="18" xfId="0" applyNumberFormat="1" applyFont="1" applyFill="1" applyBorder="1" applyAlignment="1">
      <alignment horizontal="right" vertical="center"/>
    </xf>
    <xf numFmtId="179" fontId="4" fillId="4" borderId="16" xfId="0" applyNumberFormat="1" applyFont="1" applyFill="1" applyBorder="1" applyAlignment="1">
      <alignment horizontal="right" vertical="center"/>
    </xf>
    <xf numFmtId="56" fontId="2" fillId="4" borderId="16" xfId="0" applyNumberFormat="1" applyFont="1" applyFill="1" applyBorder="1" applyAlignment="1">
      <alignment horizontal="right" vertical="center"/>
    </xf>
    <xf numFmtId="179" fontId="4" fillId="4" borderId="17" xfId="0" applyNumberFormat="1" applyFont="1" applyFill="1" applyBorder="1" applyAlignment="1">
      <alignment horizontal="right" vertical="center"/>
    </xf>
    <xf numFmtId="179" fontId="4" fillId="4" borderId="18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/>
    </xf>
    <xf numFmtId="179" fontId="2" fillId="4" borderId="9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 applyAlignment="1">
      <alignment horizontal="right" vertical="center"/>
    </xf>
    <xf numFmtId="179" fontId="4" fillId="4" borderId="53" xfId="0" applyNumberFormat="1" applyFont="1" applyFill="1" applyBorder="1" applyAlignment="1">
      <alignment horizontal="right" vertical="center"/>
    </xf>
    <xf numFmtId="179" fontId="2" fillId="4" borderId="19" xfId="0" applyNumberFormat="1" applyFont="1" applyFill="1" applyBorder="1" applyAlignment="1">
      <alignment horizontal="right" vertical="center"/>
    </xf>
    <xf numFmtId="56" fontId="2" fillId="4" borderId="19" xfId="0" applyNumberFormat="1" applyFont="1" applyFill="1" applyBorder="1" applyAlignment="1">
      <alignment horizontal="right" vertical="center" shrinkToFit="1"/>
    </xf>
    <xf numFmtId="56" fontId="2" fillId="4" borderId="17" xfId="0" applyNumberFormat="1" applyFont="1" applyFill="1" applyBorder="1" applyAlignment="1">
      <alignment horizontal="right" vertical="center" shrinkToFit="1"/>
    </xf>
    <xf numFmtId="179" fontId="4" fillId="4" borderId="13" xfId="0" applyNumberFormat="1" applyFont="1" applyFill="1" applyBorder="1" applyAlignment="1">
      <alignment horizontal="right" vertical="center"/>
    </xf>
    <xf numFmtId="56" fontId="2" fillId="4" borderId="18" xfId="0" applyNumberFormat="1" applyFont="1" applyFill="1" applyBorder="1" applyAlignment="1">
      <alignment horizontal="right" vertical="center" shrinkToFit="1"/>
    </xf>
    <xf numFmtId="0" fontId="4" fillId="7" borderId="9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76" fontId="2" fillId="7" borderId="16" xfId="0" applyNumberFormat="1" applyFont="1" applyFill="1" applyBorder="1" applyAlignment="1">
      <alignment horizontal="right" vertical="center"/>
    </xf>
    <xf numFmtId="176" fontId="2" fillId="7" borderId="17" xfId="0" applyNumberFormat="1" applyFont="1" applyFill="1" applyBorder="1" applyAlignment="1">
      <alignment horizontal="right" vertical="center"/>
    </xf>
    <xf numFmtId="176" fontId="2" fillId="7" borderId="18" xfId="0" applyNumberFormat="1" applyFont="1" applyFill="1" applyBorder="1" applyAlignment="1">
      <alignment horizontal="right" vertical="center"/>
    </xf>
    <xf numFmtId="176" fontId="2" fillId="7" borderId="12" xfId="0" applyNumberFormat="1" applyFont="1" applyFill="1" applyBorder="1" applyAlignment="1">
      <alignment horizontal="right" vertical="center"/>
    </xf>
    <xf numFmtId="176" fontId="2" fillId="7" borderId="53" xfId="0" applyNumberFormat="1" applyFont="1" applyFill="1" applyBorder="1" applyAlignment="1">
      <alignment horizontal="right" vertical="center"/>
    </xf>
    <xf numFmtId="56" fontId="2" fillId="7" borderId="39" xfId="0" applyNumberFormat="1" applyFont="1" applyFill="1" applyBorder="1" applyAlignment="1">
      <alignment vertical="center" shrinkToFit="1"/>
    </xf>
    <xf numFmtId="56" fontId="2" fillId="7" borderId="37" xfId="0" applyNumberFormat="1" applyFont="1" applyFill="1" applyBorder="1" applyAlignment="1">
      <alignment vertical="center" shrinkToFit="1"/>
    </xf>
    <xf numFmtId="0" fontId="2" fillId="0" borderId="36" xfId="0" applyFont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 wrapText="1"/>
    </xf>
    <xf numFmtId="176" fontId="2" fillId="7" borderId="39" xfId="0" applyNumberFormat="1" applyFont="1" applyFill="1" applyBorder="1" applyAlignment="1">
      <alignment horizontal="right" vertical="center"/>
    </xf>
    <xf numFmtId="176" fontId="2" fillId="7" borderId="37" xfId="0" applyNumberFormat="1" applyFont="1" applyFill="1" applyBorder="1" applyAlignment="1">
      <alignment horizontal="right" vertical="center"/>
    </xf>
    <xf numFmtId="176" fontId="2" fillId="7" borderId="38" xfId="0" applyNumberFormat="1" applyFont="1" applyFill="1" applyBorder="1" applyAlignment="1">
      <alignment horizontal="right" vertical="center"/>
    </xf>
    <xf numFmtId="176" fontId="2" fillId="7" borderId="56" xfId="0" applyNumberFormat="1" applyFont="1" applyFill="1" applyBorder="1" applyAlignment="1">
      <alignment horizontal="right" vertical="center"/>
    </xf>
    <xf numFmtId="176" fontId="2" fillId="7" borderId="44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56" fontId="2" fillId="4" borderId="16" xfId="0" applyNumberFormat="1" applyFont="1" applyFill="1" applyBorder="1" applyAlignment="1">
      <alignment horizontal="center" vertical="center" shrinkToFit="1"/>
    </xf>
    <xf numFmtId="56" fontId="2" fillId="4" borderId="17" xfId="0" applyNumberFormat="1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>
      <alignment vertical="center"/>
    </xf>
    <xf numFmtId="56" fontId="2" fillId="4" borderId="18" xfId="0" applyNumberFormat="1" applyFont="1" applyFill="1" applyBorder="1" applyAlignment="1">
      <alignment horizontal="center" vertical="center" shrinkToFit="1"/>
    </xf>
    <xf numFmtId="176" fontId="2" fillId="4" borderId="29" xfId="0" applyNumberFormat="1" applyFont="1" applyFill="1" applyBorder="1">
      <alignment vertical="center"/>
    </xf>
    <xf numFmtId="0" fontId="2" fillId="4" borderId="29" xfId="0" applyFont="1" applyFill="1" applyBorder="1" applyAlignment="1">
      <alignment horizontal="center" vertical="center" shrinkToFit="1"/>
    </xf>
    <xf numFmtId="176" fontId="2" fillId="4" borderId="30" xfId="0" applyNumberFormat="1" applyFont="1" applyFill="1" applyBorder="1">
      <alignment vertical="center"/>
    </xf>
    <xf numFmtId="176" fontId="2" fillId="4" borderId="31" xfId="0" applyNumberFormat="1" applyFont="1" applyFill="1" applyBorder="1">
      <alignment vertical="center"/>
    </xf>
    <xf numFmtId="0" fontId="2" fillId="4" borderId="31" xfId="0" applyFont="1" applyFill="1" applyBorder="1" applyAlignment="1">
      <alignment horizontal="center" vertical="center" shrinkToFit="1"/>
    </xf>
    <xf numFmtId="56" fontId="2" fillId="4" borderId="31" xfId="0" applyNumberFormat="1" applyFont="1" applyFill="1" applyBorder="1">
      <alignment vertical="center"/>
    </xf>
    <xf numFmtId="0" fontId="4" fillId="4" borderId="6" xfId="0" applyFont="1" applyFill="1" applyBorder="1" applyAlignment="1">
      <alignment horizontal="center" vertical="center" shrinkToFit="1"/>
    </xf>
    <xf numFmtId="0" fontId="2" fillId="4" borderId="24" xfId="0" applyFont="1" applyFill="1" applyBorder="1" applyAlignment="1">
      <alignment horizontal="center" vertical="center" shrinkToFit="1"/>
    </xf>
    <xf numFmtId="176" fontId="2" fillId="4" borderId="9" xfId="0" applyNumberFormat="1" applyFont="1" applyFill="1" applyBorder="1">
      <alignment vertical="center"/>
    </xf>
    <xf numFmtId="176" fontId="2" fillId="4" borderId="18" xfId="0" applyNumberFormat="1" applyFont="1" applyFill="1" applyBorder="1">
      <alignment vertical="center"/>
    </xf>
    <xf numFmtId="0" fontId="2" fillId="4" borderId="18" xfId="0" applyFont="1" applyFill="1" applyBorder="1" applyAlignment="1">
      <alignment horizontal="center" vertical="center" shrinkToFit="1"/>
    </xf>
    <xf numFmtId="56" fontId="2" fillId="4" borderId="19" xfId="0" applyNumberFormat="1" applyFont="1" applyFill="1" applyBorder="1" applyAlignment="1">
      <alignment vertical="center" shrinkToFit="1"/>
    </xf>
    <xf numFmtId="0" fontId="2" fillId="4" borderId="19" xfId="0" applyFont="1" applyFill="1" applyBorder="1" applyAlignment="1">
      <alignment horizontal="center" vertical="center" shrinkToFit="1"/>
    </xf>
    <xf numFmtId="56" fontId="2" fillId="4" borderId="18" xfId="0" applyNumberFormat="1" applyFont="1" applyFill="1" applyBorder="1" applyAlignment="1">
      <alignment vertical="center" shrinkToFit="1"/>
    </xf>
    <xf numFmtId="176" fontId="35" fillId="6" borderId="17" xfId="0" applyNumberFormat="1" applyFont="1" applyFill="1" applyBorder="1" applyAlignment="1">
      <alignment horizontal="right" vertical="center"/>
    </xf>
    <xf numFmtId="176" fontId="2" fillId="6" borderId="19" xfId="0" applyNumberFormat="1" applyFont="1" applyFill="1" applyBorder="1" applyAlignment="1">
      <alignment horizontal="right" vertical="center"/>
    </xf>
    <xf numFmtId="56" fontId="2" fillId="6" borderId="18" xfId="0" applyNumberFormat="1" applyFont="1" applyFill="1" applyBorder="1" applyAlignment="1">
      <alignment vertical="center" shrinkToFit="1"/>
    </xf>
    <xf numFmtId="176" fontId="2" fillId="0" borderId="0" xfId="0" applyNumberFormat="1" applyFont="1">
      <alignment vertical="center"/>
    </xf>
    <xf numFmtId="0" fontId="37" fillId="4" borderId="6" xfId="0" applyFont="1" applyFill="1" applyBorder="1" applyAlignment="1">
      <alignment horizontal="center" vertical="center" shrinkToFit="1"/>
    </xf>
    <xf numFmtId="179" fontId="21" fillId="4" borderId="17" xfId="0" applyNumberFormat="1" applyFont="1" applyFill="1" applyBorder="1" applyAlignment="1">
      <alignment horizontal="right" vertical="center"/>
    </xf>
    <xf numFmtId="0" fontId="31" fillId="4" borderId="31" xfId="0" applyFont="1" applyFill="1" applyBorder="1" applyAlignment="1">
      <alignment horizontal="center" vertical="center" shrinkToFit="1"/>
    </xf>
    <xf numFmtId="0" fontId="37" fillId="4" borderId="39" xfId="0" applyFont="1" applyFill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76" fontId="38" fillId="6" borderId="16" xfId="0" applyNumberFormat="1" applyFont="1" applyFill="1" applyBorder="1" applyAlignment="1">
      <alignment horizontal="right" vertical="center"/>
    </xf>
    <xf numFmtId="176" fontId="38" fillId="6" borderId="17" xfId="0" applyNumberFormat="1" applyFont="1" applyFill="1" applyBorder="1" applyAlignment="1">
      <alignment horizontal="right" vertical="center"/>
    </xf>
    <xf numFmtId="176" fontId="38" fillId="6" borderId="18" xfId="0" applyNumberFormat="1" applyFont="1" applyFill="1" applyBorder="1" applyAlignment="1">
      <alignment horizontal="right" vertical="center"/>
    </xf>
    <xf numFmtId="176" fontId="4" fillId="6" borderId="53" xfId="0" applyNumberFormat="1" applyFont="1" applyFill="1" applyBorder="1" applyAlignment="1">
      <alignment horizontal="right" vertical="center"/>
    </xf>
    <xf numFmtId="176" fontId="38" fillId="6" borderId="53" xfId="0" applyNumberFormat="1" applyFont="1" applyFill="1" applyBorder="1" applyAlignment="1">
      <alignment horizontal="right" vertical="center"/>
    </xf>
    <xf numFmtId="176" fontId="4" fillId="6" borderId="19" xfId="0" applyNumberFormat="1" applyFont="1" applyFill="1" applyBorder="1" applyAlignment="1">
      <alignment horizontal="right" vertical="center"/>
    </xf>
    <xf numFmtId="56" fontId="4" fillId="6" borderId="17" xfId="0" applyNumberFormat="1" applyFont="1" applyFill="1" applyBorder="1" applyAlignment="1">
      <alignment vertical="center" shrinkToFit="1"/>
    </xf>
    <xf numFmtId="56" fontId="4" fillId="6" borderId="18" xfId="0" applyNumberFormat="1" applyFont="1" applyFill="1" applyBorder="1" applyAlignment="1">
      <alignment vertical="center" shrinkToFit="1"/>
    </xf>
    <xf numFmtId="0" fontId="2" fillId="6" borderId="34" xfId="0" applyFont="1" applyFill="1" applyBorder="1">
      <alignment vertical="center"/>
    </xf>
    <xf numFmtId="56" fontId="2" fillId="4" borderId="71" xfId="0" applyNumberFormat="1" applyFont="1" applyFill="1" applyBorder="1" applyAlignment="1">
      <alignment horizontal="right" vertical="center" shrinkToFit="1"/>
    </xf>
    <xf numFmtId="176" fontId="21" fillId="6" borderId="17" xfId="0" applyNumberFormat="1" applyFont="1" applyFill="1" applyBorder="1" applyAlignment="1">
      <alignment horizontal="right" vertical="center"/>
    </xf>
    <xf numFmtId="179" fontId="21" fillId="4" borderId="44" xfId="0" applyNumberFormat="1" applyFont="1" applyFill="1" applyBorder="1" applyAlignment="1">
      <alignment horizontal="right" vertical="center"/>
    </xf>
    <xf numFmtId="179" fontId="21" fillId="4" borderId="9" xfId="0" applyNumberFormat="1" applyFont="1" applyFill="1" applyBorder="1" applyAlignment="1">
      <alignment horizontal="right" vertical="center"/>
    </xf>
    <xf numFmtId="0" fontId="2" fillId="0" borderId="9" xfId="0" applyFont="1" applyBorder="1">
      <alignment vertical="center"/>
    </xf>
    <xf numFmtId="176" fontId="31" fillId="7" borderId="39" xfId="0" applyNumberFormat="1" applyFont="1" applyFill="1" applyBorder="1" applyAlignment="1">
      <alignment horizontal="right" vertical="center"/>
    </xf>
    <xf numFmtId="0" fontId="39" fillId="6" borderId="17" xfId="0" applyFont="1" applyFill="1" applyBorder="1">
      <alignment vertical="center"/>
    </xf>
    <xf numFmtId="179" fontId="39" fillId="4" borderId="17" xfId="0" applyNumberFormat="1" applyFont="1" applyFill="1" applyBorder="1" applyAlignment="1">
      <alignment horizontal="right" vertical="center"/>
    </xf>
    <xf numFmtId="56" fontId="39" fillId="4" borderId="17" xfId="0" applyNumberFormat="1" applyFont="1" applyFill="1" applyBorder="1" applyAlignment="1">
      <alignment horizontal="right" vertical="center"/>
    </xf>
    <xf numFmtId="56" fontId="39" fillId="4" borderId="30" xfId="0" applyNumberFormat="1" applyFont="1" applyFill="1" applyBorder="1">
      <alignment vertical="center"/>
    </xf>
    <xf numFmtId="0" fontId="39" fillId="4" borderId="6" xfId="0" applyFont="1" applyFill="1" applyBorder="1" applyAlignment="1">
      <alignment horizontal="center" vertical="center" shrinkToFit="1"/>
    </xf>
    <xf numFmtId="176" fontId="39" fillId="7" borderId="17" xfId="0" applyNumberFormat="1" applyFont="1" applyFill="1" applyBorder="1" applyAlignment="1">
      <alignment horizontal="right" vertical="center"/>
    </xf>
    <xf numFmtId="181" fontId="2" fillId="7" borderId="59" xfId="2" applyNumberFormat="1" applyFont="1" applyFill="1" applyBorder="1">
      <alignment vertical="center"/>
    </xf>
    <xf numFmtId="181" fontId="2" fillId="7" borderId="60" xfId="2" applyNumberFormat="1" applyFont="1" applyFill="1" applyBorder="1">
      <alignment vertical="center"/>
    </xf>
    <xf numFmtId="181" fontId="2" fillId="7" borderId="61" xfId="2" applyNumberFormat="1" applyFont="1" applyFill="1" applyBorder="1">
      <alignment vertical="center"/>
    </xf>
    <xf numFmtId="181" fontId="11" fillId="7" borderId="44" xfId="2" applyNumberFormat="1" applyFont="1" applyFill="1" applyBorder="1">
      <alignment vertical="center"/>
    </xf>
    <xf numFmtId="181" fontId="11" fillId="7" borderId="39" xfId="2" applyNumberFormat="1" applyFont="1" applyFill="1" applyBorder="1">
      <alignment vertical="center"/>
    </xf>
    <xf numFmtId="181" fontId="11" fillId="7" borderId="37" xfId="2" applyNumberFormat="1" applyFont="1" applyFill="1" applyBorder="1">
      <alignment vertical="center"/>
    </xf>
    <xf numFmtId="181" fontId="2" fillId="7" borderId="44" xfId="2" applyNumberFormat="1" applyFont="1" applyFill="1" applyBorder="1">
      <alignment vertical="center"/>
    </xf>
    <xf numFmtId="181" fontId="2" fillId="7" borderId="39" xfId="2" applyNumberFormat="1" applyFont="1" applyFill="1" applyBorder="1">
      <alignment vertical="center"/>
    </xf>
    <xf numFmtId="181" fontId="2" fillId="7" borderId="37" xfId="2" applyNumberFormat="1" applyFont="1" applyFill="1" applyBorder="1">
      <alignment vertical="center"/>
    </xf>
    <xf numFmtId="176" fontId="38" fillId="6" borderId="12" xfId="0" applyNumberFormat="1" applyFont="1" applyFill="1" applyBorder="1" applyAlignment="1">
      <alignment horizontal="right" vertical="center"/>
    </xf>
    <xf numFmtId="176" fontId="39" fillId="6" borderId="53" xfId="0" applyNumberFormat="1" applyFont="1" applyFill="1" applyBorder="1" applyAlignment="1">
      <alignment horizontal="right" vertical="center"/>
    </xf>
    <xf numFmtId="176" fontId="38" fillId="6" borderId="78" xfId="0" applyNumberFormat="1" applyFont="1" applyFill="1" applyBorder="1" applyAlignment="1">
      <alignment horizontal="right" vertical="center"/>
    </xf>
    <xf numFmtId="176" fontId="4" fillId="6" borderId="78" xfId="0" applyNumberFormat="1" applyFont="1" applyFill="1" applyBorder="1" applyAlignment="1">
      <alignment horizontal="right" vertical="center"/>
    </xf>
    <xf numFmtId="181" fontId="37" fillId="7" borderId="39" xfId="2" applyNumberFormat="1" applyFont="1" applyFill="1" applyBorder="1">
      <alignment vertical="center"/>
    </xf>
    <xf numFmtId="176" fontId="38" fillId="6" borderId="17" xfId="0" applyNumberFormat="1" applyFont="1" applyFill="1" applyBorder="1">
      <alignment vertical="center"/>
    </xf>
    <xf numFmtId="181" fontId="2" fillId="2" borderId="35" xfId="2" applyNumberFormat="1" applyFont="1" applyFill="1" applyBorder="1">
      <alignment vertical="center"/>
    </xf>
    <xf numFmtId="181" fontId="2" fillId="2" borderId="77" xfId="2" applyNumberFormat="1" applyFont="1" applyFill="1" applyBorder="1">
      <alignment vertical="center"/>
    </xf>
    <xf numFmtId="181" fontId="2" fillId="2" borderId="44" xfId="2" applyNumberFormat="1" applyFont="1" applyFill="1" applyBorder="1">
      <alignment vertical="center"/>
    </xf>
    <xf numFmtId="181" fontId="2" fillId="2" borderId="39" xfId="2" applyNumberFormat="1" applyFont="1" applyFill="1" applyBorder="1">
      <alignment vertical="center"/>
    </xf>
    <xf numFmtId="181" fontId="2" fillId="2" borderId="37" xfId="2" applyNumberFormat="1" applyFont="1" applyFill="1" applyBorder="1">
      <alignment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176" fontId="2" fillId="8" borderId="16" xfId="0" applyNumberFormat="1" applyFont="1" applyFill="1" applyBorder="1" applyAlignment="1">
      <alignment horizontal="right" vertical="center"/>
    </xf>
    <xf numFmtId="176" fontId="2" fillId="8" borderId="17" xfId="0" applyNumberFormat="1" applyFont="1" applyFill="1" applyBorder="1" applyAlignment="1">
      <alignment horizontal="right" vertical="center"/>
    </xf>
    <xf numFmtId="176" fontId="2" fillId="8" borderId="18" xfId="0" applyNumberFormat="1" applyFont="1" applyFill="1" applyBorder="1" applyAlignment="1">
      <alignment horizontal="right" vertical="center"/>
    </xf>
    <xf numFmtId="176" fontId="2" fillId="8" borderId="39" xfId="0" applyNumberFormat="1" applyFont="1" applyFill="1" applyBorder="1" applyAlignment="1">
      <alignment horizontal="right" vertical="center"/>
    </xf>
    <xf numFmtId="176" fontId="2" fillId="8" borderId="37" xfId="0" applyNumberFormat="1" applyFont="1" applyFill="1" applyBorder="1" applyAlignment="1">
      <alignment horizontal="right" vertical="center"/>
    </xf>
    <xf numFmtId="176" fontId="2" fillId="8" borderId="38" xfId="0" applyNumberFormat="1" applyFont="1" applyFill="1" applyBorder="1" applyAlignment="1">
      <alignment horizontal="right" vertical="center"/>
    </xf>
    <xf numFmtId="176" fontId="31" fillId="8" borderId="39" xfId="0" applyNumberFormat="1" applyFont="1" applyFill="1" applyBorder="1" applyAlignment="1">
      <alignment horizontal="right" vertical="center"/>
    </xf>
    <xf numFmtId="176" fontId="2" fillId="8" borderId="56" xfId="0" applyNumberFormat="1" applyFont="1" applyFill="1" applyBorder="1" applyAlignment="1">
      <alignment horizontal="right" vertical="center"/>
    </xf>
    <xf numFmtId="176" fontId="2" fillId="8" borderId="12" xfId="0" applyNumberFormat="1" applyFont="1" applyFill="1" applyBorder="1" applyAlignment="1">
      <alignment horizontal="right" vertical="center"/>
    </xf>
    <xf numFmtId="176" fontId="2" fillId="8" borderId="53" xfId="0" applyNumberFormat="1" applyFont="1" applyFill="1" applyBorder="1" applyAlignment="1">
      <alignment horizontal="right" vertical="center"/>
    </xf>
    <xf numFmtId="176" fontId="2" fillId="8" borderId="44" xfId="0" applyNumberFormat="1" applyFont="1" applyFill="1" applyBorder="1" applyAlignment="1">
      <alignment horizontal="right" vertical="center"/>
    </xf>
    <xf numFmtId="56" fontId="2" fillId="8" borderId="39" xfId="0" applyNumberFormat="1" applyFont="1" applyFill="1" applyBorder="1" applyAlignment="1">
      <alignment vertical="center" shrinkToFit="1"/>
    </xf>
    <xf numFmtId="56" fontId="2" fillId="8" borderId="37" xfId="0" applyNumberFormat="1" applyFont="1" applyFill="1" applyBorder="1" applyAlignment="1">
      <alignment vertical="center" shrinkToFit="1"/>
    </xf>
    <xf numFmtId="181" fontId="2" fillId="9" borderId="59" xfId="2" applyNumberFormat="1" applyFont="1" applyFill="1" applyBorder="1">
      <alignment vertical="center"/>
    </xf>
    <xf numFmtId="181" fontId="2" fillId="9" borderId="60" xfId="2" applyNumberFormat="1" applyFont="1" applyFill="1" applyBorder="1">
      <alignment vertical="center"/>
    </xf>
    <xf numFmtId="181" fontId="2" fillId="9" borderId="61" xfId="2" applyNumberFormat="1" applyFont="1" applyFill="1" applyBorder="1">
      <alignment vertical="center"/>
    </xf>
    <xf numFmtId="181" fontId="11" fillId="9" borderId="44" xfId="2" applyNumberFormat="1" applyFont="1" applyFill="1" applyBorder="1">
      <alignment vertical="center"/>
    </xf>
    <xf numFmtId="181" fontId="11" fillId="9" borderId="39" xfId="2" applyNumberFormat="1" applyFont="1" applyFill="1" applyBorder="1">
      <alignment vertical="center"/>
    </xf>
    <xf numFmtId="181" fontId="11" fillId="9" borderId="37" xfId="2" applyNumberFormat="1" applyFont="1" applyFill="1" applyBorder="1">
      <alignment vertical="center"/>
    </xf>
    <xf numFmtId="181" fontId="2" fillId="9" borderId="44" xfId="2" applyNumberFormat="1" applyFont="1" applyFill="1" applyBorder="1">
      <alignment vertical="center"/>
    </xf>
    <xf numFmtId="181" fontId="2" fillId="9" borderId="39" xfId="2" applyNumberFormat="1" applyFont="1" applyFill="1" applyBorder="1">
      <alignment vertical="center"/>
    </xf>
    <xf numFmtId="181" fontId="2" fillId="9" borderId="37" xfId="2" applyNumberFormat="1" applyFont="1" applyFill="1" applyBorder="1">
      <alignment vertical="center"/>
    </xf>
    <xf numFmtId="181" fontId="2" fillId="9" borderId="35" xfId="2" applyNumberFormat="1" applyFont="1" applyFill="1" applyBorder="1">
      <alignment vertical="center"/>
    </xf>
    <xf numFmtId="181" fontId="2" fillId="9" borderId="77" xfId="2" applyNumberFormat="1" applyFont="1" applyFill="1" applyBorder="1">
      <alignment vertical="center"/>
    </xf>
    <xf numFmtId="181" fontId="37" fillId="9" borderId="39" xfId="2" applyNumberFormat="1" applyFont="1" applyFill="1" applyBorder="1">
      <alignment vertical="center"/>
    </xf>
    <xf numFmtId="0" fontId="4" fillId="0" borderId="64" xfId="0" applyFont="1" applyBorder="1" applyAlignment="1">
      <alignment horizontal="center" vertical="center" wrapText="1"/>
    </xf>
    <xf numFmtId="179" fontId="2" fillId="4" borderId="44" xfId="0" applyNumberFormat="1" applyFont="1" applyFill="1" applyBorder="1" applyAlignment="1">
      <alignment horizontal="right" vertical="center"/>
    </xf>
    <xf numFmtId="179" fontId="2" fillId="4" borderId="53" xfId="0" applyNumberFormat="1" applyFont="1" applyFill="1" applyBorder="1" applyAlignment="1">
      <alignment horizontal="right" vertical="center"/>
    </xf>
    <xf numFmtId="179" fontId="2" fillId="4" borderId="13" xfId="0" applyNumberFormat="1" applyFont="1" applyFill="1" applyBorder="1" applyAlignment="1">
      <alignment horizontal="right" vertical="center"/>
    </xf>
    <xf numFmtId="56" fontId="37" fillId="4" borderId="17" xfId="0" applyNumberFormat="1" applyFont="1" applyFill="1" applyBorder="1" applyAlignment="1">
      <alignment horizontal="right" vertical="center"/>
    </xf>
    <xf numFmtId="56" fontId="37" fillId="4" borderId="30" xfId="0" applyNumberFormat="1" applyFont="1" applyFill="1" applyBorder="1">
      <alignment vertical="center"/>
    </xf>
    <xf numFmtId="176" fontId="37" fillId="8" borderId="17" xfId="0" applyNumberFormat="1" applyFont="1" applyFill="1" applyBorder="1" applyAlignment="1">
      <alignment horizontal="right" vertical="center"/>
    </xf>
    <xf numFmtId="40" fontId="4" fillId="0" borderId="0" xfId="2" applyNumberFormat="1" applyFont="1">
      <alignment vertical="center"/>
    </xf>
    <xf numFmtId="40" fontId="4" fillId="0" borderId="63" xfId="2" applyNumberFormat="1" applyFont="1" applyBorder="1" applyAlignment="1">
      <alignment horizontal="center" vertical="center"/>
    </xf>
    <xf numFmtId="40" fontId="0" fillId="0" borderId="9" xfId="2" applyNumberFormat="1" applyFont="1" applyBorder="1" applyAlignment="1">
      <alignment horizontal="center" vertical="top"/>
    </xf>
    <xf numFmtId="40" fontId="0" fillId="0" borderId="12" xfId="2" applyNumberFormat="1" applyFont="1" applyBorder="1" applyAlignment="1">
      <alignment horizontal="center" vertical="top"/>
    </xf>
    <xf numFmtId="40" fontId="0" fillId="0" borderId="13" xfId="2" applyNumberFormat="1" applyFont="1" applyBorder="1" applyAlignment="1">
      <alignment horizontal="center" vertical="top"/>
    </xf>
    <xf numFmtId="40" fontId="29" fillId="0" borderId="12" xfId="2" applyNumberFormat="1" applyFont="1" applyBorder="1" applyAlignment="1">
      <alignment horizontal="center" vertical="top"/>
    </xf>
    <xf numFmtId="40" fontId="4" fillId="3" borderId="13" xfId="2" applyNumberFormat="1" applyFont="1" applyFill="1" applyBorder="1" applyAlignment="1">
      <alignment horizontal="center" vertical="center"/>
    </xf>
    <xf numFmtId="40" fontId="4" fillId="0" borderId="63" xfId="2" applyNumberFormat="1" applyFont="1" applyBorder="1" applyAlignment="1">
      <alignment horizontal="center" vertical="center" wrapText="1"/>
    </xf>
    <xf numFmtId="176" fontId="35" fillId="6" borderId="19" xfId="0" applyNumberFormat="1" applyFont="1" applyFill="1" applyBorder="1" applyAlignment="1">
      <alignment horizontal="right" vertical="center"/>
    </xf>
    <xf numFmtId="0" fontId="4" fillId="0" borderId="36" xfId="0" applyFont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6" borderId="34" xfId="0" applyFont="1" applyFill="1" applyBorder="1">
      <alignment vertical="center"/>
    </xf>
    <xf numFmtId="176" fontId="38" fillId="6" borderId="79" xfId="0" applyNumberFormat="1" applyFont="1" applyFill="1" applyBorder="1" applyAlignment="1">
      <alignment horizontal="right" vertical="center"/>
    </xf>
    <xf numFmtId="56" fontId="21" fillId="4" borderId="17" xfId="0" applyNumberFormat="1" applyFont="1" applyFill="1" applyBorder="1" applyAlignment="1">
      <alignment horizontal="center" vertical="center" shrinkToFit="1"/>
    </xf>
    <xf numFmtId="56" fontId="37" fillId="4" borderId="6" xfId="0" applyNumberFormat="1" applyFont="1" applyFill="1" applyBorder="1" applyAlignment="1">
      <alignment horizontal="center" vertical="center" shrinkToFit="1"/>
    </xf>
    <xf numFmtId="0" fontId="35" fillId="10" borderId="63" xfId="0" applyFont="1" applyFill="1" applyBorder="1" applyAlignment="1">
      <alignment vertical="center" wrapText="1"/>
    </xf>
    <xf numFmtId="56" fontId="21" fillId="6" borderId="18" xfId="0" applyNumberFormat="1" applyFont="1" applyFill="1" applyBorder="1" applyAlignment="1">
      <alignment horizontal="right" vertical="center" shrinkToFit="1"/>
    </xf>
    <xf numFmtId="179" fontId="43" fillId="4" borderId="13" xfId="0" applyNumberFormat="1" applyFont="1" applyFill="1" applyBorder="1" applyAlignment="1">
      <alignment horizontal="right" vertical="center"/>
    </xf>
    <xf numFmtId="176" fontId="35" fillId="6" borderId="17" xfId="0" applyNumberFormat="1" applyFont="1" applyFill="1" applyBorder="1" applyAlignment="1">
      <alignment horizontal="left" vertical="center" wrapText="1"/>
    </xf>
    <xf numFmtId="176" fontId="35" fillId="6" borderId="12" xfId="0" applyNumberFormat="1" applyFont="1" applyFill="1" applyBorder="1" applyAlignment="1">
      <alignment horizontal="left" vertical="center"/>
    </xf>
    <xf numFmtId="176" fontId="38" fillId="6" borderId="18" xfId="0" applyNumberFormat="1" applyFont="1" applyFill="1" applyBorder="1" applyAlignment="1">
      <alignment horizontal="left" vertical="center"/>
    </xf>
    <xf numFmtId="176" fontId="37" fillId="8" borderId="39" xfId="0" applyNumberFormat="1" applyFont="1" applyFill="1" applyBorder="1" applyAlignment="1">
      <alignment horizontal="right" vertical="center"/>
    </xf>
    <xf numFmtId="0" fontId="21" fillId="4" borderId="6" xfId="0" applyFont="1" applyFill="1" applyBorder="1" applyAlignment="1">
      <alignment horizontal="center" vertical="center" shrinkToFit="1"/>
    </xf>
    <xf numFmtId="176" fontId="31" fillId="8" borderId="18" xfId="0" applyNumberFormat="1" applyFont="1" applyFill="1" applyBorder="1" applyAlignment="1">
      <alignment horizontal="right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/>
    </xf>
    <xf numFmtId="0" fontId="4" fillId="9" borderId="76" xfId="0" quotePrefix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4" borderId="35" xfId="0" quotePrefix="1" applyFont="1" applyFill="1" applyBorder="1" applyAlignment="1">
      <alignment horizontal="center" vertical="center"/>
    </xf>
    <xf numFmtId="0" fontId="2" fillId="4" borderId="36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/>
    </xf>
    <xf numFmtId="0" fontId="2" fillId="4" borderId="13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 shrinkToFit="1"/>
    </xf>
    <xf numFmtId="0" fontId="2" fillId="4" borderId="13" xfId="0" quotePrefix="1" applyFont="1" applyFill="1" applyBorder="1" applyAlignment="1">
      <alignment horizontal="center" vertical="center" shrinkToFit="1"/>
    </xf>
    <xf numFmtId="0" fontId="4" fillId="8" borderId="12" xfId="0" quotePrefix="1" applyFont="1" applyFill="1" applyBorder="1" applyAlignment="1">
      <alignment horizontal="center" vertical="center"/>
    </xf>
    <xf numFmtId="0" fontId="4" fillId="8" borderId="13" xfId="0" quotePrefix="1" applyFont="1" applyFill="1" applyBorder="1" applyAlignment="1">
      <alignment horizontal="center" vertical="center"/>
    </xf>
    <xf numFmtId="40" fontId="4" fillId="0" borderId="9" xfId="2" applyNumberFormat="1" applyFont="1" applyBorder="1" applyAlignment="1">
      <alignment horizontal="center" vertical="center" wrapText="1"/>
    </xf>
    <xf numFmtId="40" fontId="4" fillId="0" borderId="12" xfId="2" applyNumberFormat="1" applyFont="1" applyBorder="1" applyAlignment="1">
      <alignment horizontal="center" vertical="center" wrapText="1"/>
    </xf>
    <xf numFmtId="40" fontId="4" fillId="0" borderId="13" xfId="2" applyNumberFormat="1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/>
    </xf>
    <xf numFmtId="0" fontId="38" fillId="6" borderId="12" xfId="0" quotePrefix="1" applyFont="1" applyFill="1" applyBorder="1" applyAlignment="1">
      <alignment horizontal="center" vertical="center"/>
    </xf>
    <xf numFmtId="0" fontId="38" fillId="6" borderId="13" xfId="0" quotePrefix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7" borderId="0" xfId="0" quotePrefix="1" applyFont="1" applyFill="1" applyAlignment="1">
      <alignment horizontal="center" vertical="center"/>
    </xf>
    <xf numFmtId="0" fontId="4" fillId="7" borderId="76" xfId="0" quotePrefix="1" applyFont="1" applyFill="1" applyBorder="1" applyAlignment="1">
      <alignment horizontal="center" vertical="center"/>
    </xf>
    <xf numFmtId="0" fontId="4" fillId="7" borderId="12" xfId="0" quotePrefix="1" applyFont="1" applyFill="1" applyBorder="1" applyAlignment="1">
      <alignment horizontal="center" vertical="center"/>
    </xf>
    <xf numFmtId="0" fontId="4" fillId="7" borderId="13" xfId="0" quotePrefix="1" applyFont="1" applyFill="1" applyBorder="1" applyAlignment="1">
      <alignment horizontal="center" vertical="center"/>
    </xf>
    <xf numFmtId="180" fontId="2" fillId="0" borderId="76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 shrinkToFit="1"/>
    </xf>
    <xf numFmtId="0" fontId="2" fillId="0" borderId="13" xfId="0" quotePrefix="1" applyFont="1" applyBorder="1" applyAlignment="1">
      <alignment horizontal="center" vertical="center" shrinkToFit="1"/>
    </xf>
    <xf numFmtId="0" fontId="4" fillId="0" borderId="12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9" xfId="0" quotePrefix="1" applyFont="1" applyBorder="1" applyAlignment="1">
      <alignment horizontal="center" vertical="center"/>
    </xf>
    <xf numFmtId="0" fontId="4" fillId="0" borderId="70" xfId="0" quotePrefix="1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 wrapText="1"/>
    </xf>
    <xf numFmtId="56" fontId="2" fillId="6" borderId="12" xfId="0" applyNumberFormat="1" applyFont="1" applyFill="1" applyBorder="1" applyAlignment="1">
      <alignment horizontal="left" vertical="center" wrapText="1"/>
    </xf>
    <xf numFmtId="0" fontId="21" fillId="0" borderId="64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2" fillId="0" borderId="9" xfId="2" applyNumberFormat="1" applyFont="1" applyBorder="1" applyAlignment="1">
      <alignment horizontal="center" vertical="top"/>
    </xf>
    <xf numFmtId="0" fontId="44" fillId="0" borderId="12" xfId="2" applyNumberFormat="1" applyFont="1" applyBorder="1" applyAlignment="1">
      <alignment horizontal="center" vertical="top"/>
    </xf>
    <xf numFmtId="0" fontId="44" fillId="0" borderId="13" xfId="2" applyNumberFormat="1" applyFont="1" applyBorder="1" applyAlignment="1">
      <alignment horizontal="center" vertical="top"/>
    </xf>
    <xf numFmtId="0" fontId="32" fillId="0" borderId="12" xfId="2" applyNumberFormat="1" applyFont="1" applyBorder="1" applyAlignment="1">
      <alignment horizontal="center" vertical="top"/>
    </xf>
    <xf numFmtId="0" fontId="32" fillId="0" borderId="13" xfId="2" applyNumberFormat="1" applyFont="1" applyBorder="1" applyAlignment="1">
      <alignment horizontal="center" vertical="top"/>
    </xf>
  </cellXfs>
  <cellStyles count="3">
    <cellStyle name="桁区切り" xfId="2" builtinId="6"/>
    <cellStyle name="標準" xfId="0" builtinId="0"/>
    <cellStyle name="標準 2" xfId="1" xr:uid="{2125BECF-06B6-4C9A-B417-F452FE01517D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AD55-45F5-4A5A-93A3-55C8BE2F0D4D}">
  <sheetPr>
    <tabColor rgb="FFFFFF00"/>
    <pageSetUpPr fitToPage="1"/>
  </sheetPr>
  <dimension ref="A1:P57"/>
  <sheetViews>
    <sheetView tabSelected="1" topLeftCell="C1" zoomScale="85" zoomScaleNormal="85" workbookViewId="0">
      <selection activeCell="J24" sqref="J24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664062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640625" style="1" customWidth="1"/>
    <col min="13" max="13" width="16.5" style="28" customWidth="1"/>
    <col min="14" max="14" width="15.83203125" style="523" customWidth="1"/>
    <col min="15" max="15" width="9" style="523"/>
    <col min="16" max="16" width="14.5" style="776" customWidth="1"/>
    <col min="17" max="16384" width="9" style="523"/>
  </cols>
  <sheetData>
    <row r="1" spans="1:16" ht="22">
      <c r="A1" s="517" t="s">
        <v>0</v>
      </c>
      <c r="L1" s="693"/>
      <c r="M1" s="693"/>
    </row>
    <row r="2" spans="1:16" ht="22">
      <c r="A2" s="517" t="s">
        <v>1</v>
      </c>
      <c r="L2" s="693"/>
      <c r="M2" s="693"/>
      <c r="P2" s="776">
        <v>45901</v>
      </c>
    </row>
    <row r="3" spans="1:16" ht="35.75" customHeight="1">
      <c r="A3" s="802" t="s">
        <v>2</v>
      </c>
      <c r="B3" s="803"/>
      <c r="C3" s="803"/>
      <c r="D3" s="803"/>
      <c r="E3" s="803"/>
      <c r="F3" s="803"/>
      <c r="G3" s="803"/>
      <c r="H3" s="803"/>
      <c r="I3" s="803"/>
      <c r="J3" s="803"/>
      <c r="K3" s="804"/>
      <c r="L3" s="769" t="s">
        <v>3</v>
      </c>
      <c r="M3" s="769" t="s">
        <v>4</v>
      </c>
      <c r="N3" s="698" t="s">
        <v>5</v>
      </c>
      <c r="P3" s="783" t="s">
        <v>6</v>
      </c>
    </row>
    <row r="4" spans="1:16">
      <c r="A4" s="805" t="s">
        <v>7</v>
      </c>
      <c r="B4" s="805"/>
      <c r="C4" s="805"/>
      <c r="D4" s="805"/>
      <c r="E4" s="805"/>
      <c r="F4" s="805"/>
      <c r="G4" s="806" t="s">
        <v>8</v>
      </c>
      <c r="H4" s="806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09" t="s">
        <v>14</v>
      </c>
      <c r="N4" s="699"/>
      <c r="P4" s="825" t="s">
        <v>15</v>
      </c>
    </row>
    <row r="5" spans="1:16" ht="13.5" customHeight="1">
      <c r="A5" s="816" t="s">
        <v>16</v>
      </c>
      <c r="B5" s="828" t="s">
        <v>17</v>
      </c>
      <c r="C5" s="816" t="s">
        <v>18</v>
      </c>
      <c r="D5" s="816" t="s">
        <v>19</v>
      </c>
      <c r="E5" s="813" t="s">
        <v>20</v>
      </c>
      <c r="F5" s="816" t="s">
        <v>21</v>
      </c>
      <c r="G5" s="807"/>
      <c r="H5" s="807"/>
      <c r="I5" s="623"/>
      <c r="J5" s="671"/>
      <c r="K5" s="671" t="s">
        <v>22</v>
      </c>
      <c r="L5" s="743"/>
      <c r="M5" s="810"/>
      <c r="N5" s="700"/>
      <c r="P5" s="826"/>
    </row>
    <row r="6" spans="1:16" ht="13.5" customHeight="1">
      <c r="A6" s="816"/>
      <c r="B6" s="828"/>
      <c r="C6" s="816"/>
      <c r="D6" s="816"/>
      <c r="E6" s="814"/>
      <c r="F6" s="816"/>
      <c r="G6" s="807"/>
      <c r="H6" s="807"/>
      <c r="I6" s="817" t="s">
        <v>23</v>
      </c>
      <c r="J6" s="819" t="s">
        <v>23</v>
      </c>
      <c r="K6" s="821" t="s">
        <v>24</v>
      </c>
      <c r="L6" s="823" t="s">
        <v>23</v>
      </c>
      <c r="M6" s="811" t="s">
        <v>25</v>
      </c>
      <c r="N6" s="829"/>
      <c r="P6" s="826"/>
    </row>
    <row r="7" spans="1:16">
      <c r="A7" s="816"/>
      <c r="B7" s="828"/>
      <c r="C7" s="816"/>
      <c r="D7" s="816"/>
      <c r="E7" s="815"/>
      <c r="F7" s="816"/>
      <c r="G7" s="808"/>
      <c r="H7" s="808"/>
      <c r="I7" s="818"/>
      <c r="J7" s="820"/>
      <c r="K7" s="822"/>
      <c r="L7" s="824"/>
      <c r="M7" s="812"/>
      <c r="N7" s="830"/>
      <c r="P7" s="827"/>
    </row>
    <row r="8" spans="1:16">
      <c r="A8" s="507">
        <v>1</v>
      </c>
      <c r="B8" s="9" t="s">
        <v>26</v>
      </c>
      <c r="C8" s="401" t="s">
        <v>27</v>
      </c>
      <c r="D8" s="401" t="s">
        <v>28</v>
      </c>
      <c r="E8" s="401" t="s">
        <v>29</v>
      </c>
      <c r="F8" s="401" t="s">
        <v>30</v>
      </c>
      <c r="G8" s="624">
        <v>42.445399999999999</v>
      </c>
      <c r="H8" s="625">
        <v>139.9716</v>
      </c>
      <c r="I8" s="626">
        <v>46133</v>
      </c>
      <c r="J8" s="538">
        <v>46162</v>
      </c>
      <c r="K8" s="672" t="s">
        <v>31</v>
      </c>
      <c r="L8" s="744">
        <v>46228</v>
      </c>
      <c r="M8" s="757"/>
      <c r="N8" s="701"/>
      <c r="P8" s="891">
        <v>16.2</v>
      </c>
    </row>
    <row r="9" spans="1:16">
      <c r="A9" s="527">
        <v>2</v>
      </c>
      <c r="B9" s="10" t="s">
        <v>32</v>
      </c>
      <c r="C9" s="503" t="s">
        <v>33</v>
      </c>
      <c r="D9" s="503" t="s">
        <v>34</v>
      </c>
      <c r="E9" s="503" t="s">
        <v>35</v>
      </c>
      <c r="F9" s="503" t="s">
        <v>36</v>
      </c>
      <c r="G9" s="770">
        <v>42.488999999999997</v>
      </c>
      <c r="H9" s="770">
        <v>139.91059999999999</v>
      </c>
      <c r="I9" s="627">
        <v>46130</v>
      </c>
      <c r="J9" s="443">
        <v>46160</v>
      </c>
      <c r="K9" s="791" t="s">
        <v>31</v>
      </c>
      <c r="L9" s="745"/>
      <c r="M9" s="758"/>
      <c r="N9" s="711"/>
      <c r="P9" s="892">
        <v>15.8</v>
      </c>
    </row>
    <row r="10" spans="1:16">
      <c r="A10" s="528">
        <v>3</v>
      </c>
      <c r="B10" s="785"/>
      <c r="C10" s="504" t="s">
        <v>37</v>
      </c>
      <c r="D10" s="504" t="s">
        <v>38</v>
      </c>
      <c r="E10" s="504" t="s">
        <v>39</v>
      </c>
      <c r="F10" s="504" t="s">
        <v>40</v>
      </c>
      <c r="G10" s="628">
        <v>42.038800000000002</v>
      </c>
      <c r="H10" s="628">
        <v>140.61940000000001</v>
      </c>
      <c r="I10" s="629">
        <v>46139</v>
      </c>
      <c r="J10" s="674">
        <v>46166</v>
      </c>
      <c r="K10" s="675" t="s">
        <v>31</v>
      </c>
      <c r="L10" s="801"/>
      <c r="M10" s="759"/>
      <c r="N10" s="703"/>
      <c r="P10" s="893">
        <v>16.7</v>
      </c>
    </row>
    <row r="11" spans="1:16">
      <c r="A11" s="507">
        <v>4</v>
      </c>
      <c r="B11" s="9" t="s">
        <v>41</v>
      </c>
      <c r="C11" s="401" t="s">
        <v>42</v>
      </c>
      <c r="D11" s="401" t="s">
        <v>43</v>
      </c>
      <c r="E11" s="401" t="s">
        <v>44</v>
      </c>
      <c r="F11" s="401" t="s">
        <v>45</v>
      </c>
      <c r="G11" s="630">
        <v>42.993899999999996</v>
      </c>
      <c r="H11" s="630">
        <v>140.5916</v>
      </c>
      <c r="I11" s="631">
        <v>46135</v>
      </c>
      <c r="J11" s="676">
        <v>46164</v>
      </c>
      <c r="K11" s="696" t="s">
        <v>46</v>
      </c>
      <c r="L11" s="747">
        <v>46228</v>
      </c>
      <c r="M11" s="760"/>
      <c r="N11" s="702"/>
      <c r="P11" s="894">
        <v>15.5</v>
      </c>
    </row>
    <row r="12" spans="1:16">
      <c r="A12" s="527">
        <v>5</v>
      </c>
      <c r="B12" s="10" t="s">
        <v>32</v>
      </c>
      <c r="C12" s="503" t="s">
        <v>47</v>
      </c>
      <c r="D12" s="503" t="s">
        <v>48</v>
      </c>
      <c r="E12" s="503" t="s">
        <v>49</v>
      </c>
      <c r="F12" s="503" t="s">
        <v>50</v>
      </c>
      <c r="G12" s="632">
        <v>42.805900000000001</v>
      </c>
      <c r="H12" s="632">
        <v>140.53540000000001</v>
      </c>
      <c r="I12" s="633">
        <v>46118</v>
      </c>
      <c r="J12" s="678">
        <v>46159</v>
      </c>
      <c r="K12" s="497" t="s">
        <v>51</v>
      </c>
      <c r="L12" s="747">
        <v>46230</v>
      </c>
      <c r="M12" s="761"/>
      <c r="N12" s="702"/>
      <c r="P12" s="894">
        <v>16.100000000000001</v>
      </c>
    </row>
    <row r="13" spans="1:16">
      <c r="A13" s="528">
        <v>6</v>
      </c>
      <c r="B13" s="785"/>
      <c r="C13" s="504" t="s">
        <v>47</v>
      </c>
      <c r="D13" s="504" t="s">
        <v>52</v>
      </c>
      <c r="E13" s="504" t="s">
        <v>53</v>
      </c>
      <c r="F13" s="504" t="s">
        <v>54</v>
      </c>
      <c r="G13" s="634">
        <v>42.765099999999997</v>
      </c>
      <c r="H13" s="634">
        <v>140.6807</v>
      </c>
      <c r="I13" s="635">
        <v>46132</v>
      </c>
      <c r="J13" s="679">
        <v>46162</v>
      </c>
      <c r="K13" s="680" t="s">
        <v>51</v>
      </c>
      <c r="L13" s="748">
        <v>46218</v>
      </c>
      <c r="M13" s="762"/>
      <c r="N13" s="703"/>
      <c r="P13" s="894">
        <v>16.7</v>
      </c>
    </row>
    <row r="14" spans="1:16">
      <c r="A14" s="507">
        <v>7</v>
      </c>
      <c r="B14" s="9" t="s">
        <v>55</v>
      </c>
      <c r="C14" s="401" t="s">
        <v>56</v>
      </c>
      <c r="D14" s="401" t="s">
        <v>57</v>
      </c>
      <c r="E14" s="401" t="s">
        <v>58</v>
      </c>
      <c r="F14" s="401" t="s">
        <v>59</v>
      </c>
      <c r="G14" s="630">
        <v>42.714500000000001</v>
      </c>
      <c r="H14" s="630">
        <v>141.91540000000001</v>
      </c>
      <c r="I14" s="637">
        <v>46130</v>
      </c>
      <c r="J14" s="539">
        <v>46161</v>
      </c>
      <c r="K14" s="677" t="s">
        <v>31</v>
      </c>
      <c r="L14" s="749">
        <v>46225</v>
      </c>
      <c r="M14" s="763"/>
      <c r="N14" s="701"/>
      <c r="P14" s="891">
        <v>17.7</v>
      </c>
    </row>
    <row r="15" spans="1:16">
      <c r="A15" s="527">
        <v>8</v>
      </c>
      <c r="B15" s="10" t="s">
        <v>60</v>
      </c>
      <c r="C15" s="503" t="s">
        <v>56</v>
      </c>
      <c r="D15" s="503" t="s">
        <v>57</v>
      </c>
      <c r="E15" s="503" t="s">
        <v>61</v>
      </c>
      <c r="F15" s="503" t="s">
        <v>59</v>
      </c>
      <c r="G15" s="632">
        <v>42.658099999999997</v>
      </c>
      <c r="H15" s="632">
        <v>141.9049</v>
      </c>
      <c r="I15" s="495">
        <v>46138</v>
      </c>
      <c r="J15" s="444">
        <v>46163</v>
      </c>
      <c r="K15" s="497" t="s">
        <v>31</v>
      </c>
      <c r="L15" s="750">
        <v>46228</v>
      </c>
      <c r="M15" s="764"/>
      <c r="N15" s="702"/>
      <c r="P15" s="894">
        <v>17.3</v>
      </c>
    </row>
    <row r="16" spans="1:16">
      <c r="A16" s="527">
        <v>9</v>
      </c>
      <c r="B16" s="10"/>
      <c r="C16" s="503" t="s">
        <v>62</v>
      </c>
      <c r="D16" s="503" t="s">
        <v>63</v>
      </c>
      <c r="E16" s="503" t="s">
        <v>64</v>
      </c>
      <c r="F16" s="503" t="s">
        <v>65</v>
      </c>
      <c r="G16" s="632">
        <v>42.517400000000002</v>
      </c>
      <c r="H16" s="632">
        <v>142.3749</v>
      </c>
      <c r="I16" s="495">
        <v>46137</v>
      </c>
      <c r="J16" s="444">
        <v>46169</v>
      </c>
      <c r="K16" s="497" t="s">
        <v>66</v>
      </c>
      <c r="L16" s="747">
        <v>46231</v>
      </c>
      <c r="M16" s="764"/>
      <c r="N16" s="702"/>
      <c r="P16" s="894">
        <v>16.7</v>
      </c>
    </row>
    <row r="17" spans="1:16">
      <c r="A17" s="527">
        <v>10</v>
      </c>
      <c r="B17" s="10"/>
      <c r="C17" s="503" t="s">
        <v>67</v>
      </c>
      <c r="D17" s="503" t="s">
        <v>68</v>
      </c>
      <c r="E17" s="563" t="s">
        <v>69</v>
      </c>
      <c r="F17" s="503" t="s">
        <v>70</v>
      </c>
      <c r="G17" s="632">
        <v>42.432200000000002</v>
      </c>
      <c r="H17" s="632">
        <v>142.26070000000001</v>
      </c>
      <c r="I17" s="495">
        <v>46128</v>
      </c>
      <c r="J17" s="444">
        <v>46163</v>
      </c>
      <c r="K17" s="497" t="s">
        <v>31</v>
      </c>
      <c r="L17" s="799">
        <v>46232</v>
      </c>
      <c r="M17" s="764"/>
      <c r="N17" s="702"/>
      <c r="P17" s="894">
        <v>16.100000000000001</v>
      </c>
    </row>
    <row r="18" spans="1:16">
      <c r="A18" s="527">
        <v>11</v>
      </c>
      <c r="B18" s="10"/>
      <c r="C18" s="503" t="s">
        <v>71</v>
      </c>
      <c r="D18" s="503" t="s">
        <v>72</v>
      </c>
      <c r="E18" s="563" t="s">
        <v>73</v>
      </c>
      <c r="F18" s="503" t="s">
        <v>74</v>
      </c>
      <c r="G18" s="632">
        <v>42.261600000000001</v>
      </c>
      <c r="H18" s="632">
        <v>142.6377</v>
      </c>
      <c r="I18" s="495">
        <v>46130</v>
      </c>
      <c r="J18" s="495">
        <v>46157</v>
      </c>
      <c r="K18" s="456" t="s">
        <v>31</v>
      </c>
      <c r="L18" s="747">
        <v>46228</v>
      </c>
      <c r="M18" s="764"/>
      <c r="N18" s="702"/>
      <c r="P18" s="894">
        <v>17.399999999999999</v>
      </c>
    </row>
    <row r="19" spans="1:16">
      <c r="A19" s="528">
        <v>12</v>
      </c>
      <c r="B19" s="785"/>
      <c r="C19" s="504" t="s">
        <v>75</v>
      </c>
      <c r="D19" s="504" t="s">
        <v>76</v>
      </c>
      <c r="E19" s="569" t="s">
        <v>77</v>
      </c>
      <c r="F19" s="504" t="s">
        <v>78</v>
      </c>
      <c r="G19" s="634">
        <v>42.551099999999998</v>
      </c>
      <c r="H19" s="634">
        <v>140.89859999999999</v>
      </c>
      <c r="I19" s="640">
        <v>46134</v>
      </c>
      <c r="J19" s="681">
        <v>46165</v>
      </c>
      <c r="K19" s="680" t="s">
        <v>31</v>
      </c>
      <c r="L19" s="751">
        <v>46223</v>
      </c>
      <c r="M19" s="765"/>
      <c r="N19" s="705"/>
      <c r="P19" s="895">
        <v>16.899999999999999</v>
      </c>
    </row>
    <row r="20" spans="1:16">
      <c r="A20" s="544">
        <v>13</v>
      </c>
      <c r="B20" s="557" t="s">
        <v>79</v>
      </c>
      <c r="C20" s="558" t="s">
        <v>80</v>
      </c>
      <c r="D20" s="558" t="s">
        <v>81</v>
      </c>
      <c r="E20" s="558" t="s">
        <v>82</v>
      </c>
      <c r="F20" s="558" t="s">
        <v>83</v>
      </c>
      <c r="G20" s="641">
        <v>43.216200000000001</v>
      </c>
      <c r="H20" s="641">
        <v>141.52809999999999</v>
      </c>
      <c r="I20" s="490">
        <v>46132</v>
      </c>
      <c r="J20" s="491">
        <v>46166</v>
      </c>
      <c r="K20" s="492" t="s">
        <v>84</v>
      </c>
      <c r="L20" s="744">
        <v>46227</v>
      </c>
      <c r="M20" s="766"/>
      <c r="N20" s="701"/>
      <c r="P20" s="891">
        <v>16.600000000000001</v>
      </c>
    </row>
    <row r="21" spans="1:16">
      <c r="A21" s="617">
        <v>14</v>
      </c>
      <c r="B21" s="551" t="s">
        <v>85</v>
      </c>
      <c r="C21" s="563" t="s">
        <v>86</v>
      </c>
      <c r="D21" s="563" t="s">
        <v>87</v>
      </c>
      <c r="E21" s="563" t="s">
        <v>88</v>
      </c>
      <c r="F21" s="563" t="s">
        <v>89</v>
      </c>
      <c r="G21" s="632">
        <v>42.922699999999999</v>
      </c>
      <c r="H21" s="632">
        <v>141.61259999999999</v>
      </c>
      <c r="I21" s="495">
        <v>46132</v>
      </c>
      <c r="J21" s="496">
        <v>46167</v>
      </c>
      <c r="K21" s="497" t="s">
        <v>31</v>
      </c>
      <c r="L21" s="745">
        <v>46224</v>
      </c>
      <c r="M21" s="767"/>
      <c r="N21" s="790"/>
      <c r="P21" s="895">
        <v>16.7</v>
      </c>
    </row>
    <row r="22" spans="1:16">
      <c r="A22" s="544">
        <v>15</v>
      </c>
      <c r="B22" s="557" t="s">
        <v>90</v>
      </c>
      <c r="C22" s="401" t="s">
        <v>91</v>
      </c>
      <c r="D22" s="558" t="s">
        <v>92</v>
      </c>
      <c r="E22" s="558" t="s">
        <v>93</v>
      </c>
      <c r="F22" s="558" t="s">
        <v>94</v>
      </c>
      <c r="G22" s="630">
        <v>43.145200000000003</v>
      </c>
      <c r="H22" s="630">
        <v>141.81379999999999</v>
      </c>
      <c r="I22" s="637">
        <v>46131</v>
      </c>
      <c r="J22" s="539">
        <v>46161</v>
      </c>
      <c r="K22" s="540" t="s">
        <v>31</v>
      </c>
      <c r="L22" s="744">
        <v>46227</v>
      </c>
      <c r="M22" s="763"/>
      <c r="N22" s="731"/>
      <c r="P22" s="891">
        <v>16.5</v>
      </c>
    </row>
    <row r="23" spans="1:16">
      <c r="A23" s="617">
        <v>16</v>
      </c>
      <c r="B23" s="561"/>
      <c r="C23" s="503" t="s">
        <v>91</v>
      </c>
      <c r="D23" s="563" t="s">
        <v>95</v>
      </c>
      <c r="E23" s="563" t="s">
        <v>96</v>
      </c>
      <c r="F23" s="563" t="s">
        <v>97</v>
      </c>
      <c r="G23" s="632">
        <v>43.183500000000002</v>
      </c>
      <c r="H23" s="632">
        <v>141.7028</v>
      </c>
      <c r="I23" s="495">
        <v>46135</v>
      </c>
      <c r="J23" s="443">
        <v>46161</v>
      </c>
      <c r="K23" s="697" t="s">
        <v>31</v>
      </c>
      <c r="L23" s="745">
        <v>46226</v>
      </c>
      <c r="M23" s="764"/>
      <c r="N23" s="702"/>
      <c r="P23" s="894">
        <v>16.3</v>
      </c>
    </row>
    <row r="24" spans="1:16">
      <c r="A24" s="617">
        <v>17</v>
      </c>
      <c r="B24" s="562" t="s">
        <v>98</v>
      </c>
      <c r="C24" s="503" t="s">
        <v>99</v>
      </c>
      <c r="D24" s="563" t="s">
        <v>100</v>
      </c>
      <c r="E24" s="563" t="s">
        <v>101</v>
      </c>
      <c r="F24" s="563" t="s">
        <v>102</v>
      </c>
      <c r="G24" s="632">
        <v>43.713799999999999</v>
      </c>
      <c r="H24" s="632">
        <v>141.89269999999999</v>
      </c>
      <c r="I24" s="495">
        <v>46132</v>
      </c>
      <c r="J24" s="444">
        <v>46162</v>
      </c>
      <c r="K24" s="445" t="s">
        <v>84</v>
      </c>
      <c r="L24" s="745">
        <v>46222</v>
      </c>
      <c r="M24" s="764"/>
      <c r="N24" s="702"/>
      <c r="P24" s="894">
        <v>16.3</v>
      </c>
    </row>
    <row r="25" spans="1:16">
      <c r="A25" s="617">
        <v>18</v>
      </c>
      <c r="B25" s="562"/>
      <c r="C25" s="503" t="s">
        <v>99</v>
      </c>
      <c r="D25" s="563" t="s">
        <v>103</v>
      </c>
      <c r="E25" s="563" t="s">
        <v>104</v>
      </c>
      <c r="F25" s="563" t="s">
        <v>105</v>
      </c>
      <c r="G25" s="632">
        <v>43.720700000000001</v>
      </c>
      <c r="H25" s="632">
        <v>142.07060000000001</v>
      </c>
      <c r="I25" s="495">
        <v>46127</v>
      </c>
      <c r="J25" s="444">
        <v>46156</v>
      </c>
      <c r="K25" s="445" t="s">
        <v>84</v>
      </c>
      <c r="L25" s="745">
        <v>46220</v>
      </c>
      <c r="M25" s="764"/>
      <c r="N25" s="702"/>
      <c r="P25" s="894">
        <v>16.399999999999999</v>
      </c>
    </row>
    <row r="26" spans="1:16">
      <c r="A26" s="617">
        <v>19</v>
      </c>
      <c r="B26" s="562"/>
      <c r="C26" s="503" t="s">
        <v>106</v>
      </c>
      <c r="D26" s="563" t="s">
        <v>107</v>
      </c>
      <c r="E26" s="563" t="s">
        <v>108</v>
      </c>
      <c r="F26" s="563" t="s">
        <v>109</v>
      </c>
      <c r="G26" s="632">
        <v>43.063000000000002</v>
      </c>
      <c r="H26" s="632">
        <v>141.81209999999999</v>
      </c>
      <c r="I26" s="773">
        <v>46135</v>
      </c>
      <c r="J26" s="774">
        <v>46164</v>
      </c>
      <c r="K26" s="694" t="s">
        <v>84</v>
      </c>
      <c r="L26" s="775">
        <v>46218</v>
      </c>
      <c r="M26" s="768"/>
      <c r="N26" s="702"/>
      <c r="P26" s="894">
        <v>16.399999999999999</v>
      </c>
    </row>
    <row r="27" spans="1:16" ht="30">
      <c r="A27" s="617">
        <v>20</v>
      </c>
      <c r="B27" s="562"/>
      <c r="C27" s="503" t="s">
        <v>110</v>
      </c>
      <c r="D27" s="563" t="s">
        <v>111</v>
      </c>
      <c r="E27" s="575" t="s">
        <v>112</v>
      </c>
      <c r="F27" s="563" t="s">
        <v>113</v>
      </c>
      <c r="G27" s="695">
        <v>43.592100000000002</v>
      </c>
      <c r="H27" s="695">
        <v>141.9401</v>
      </c>
      <c r="I27" s="495">
        <v>46144</v>
      </c>
      <c r="J27" s="444">
        <v>46165</v>
      </c>
      <c r="K27" s="445" t="s">
        <v>66</v>
      </c>
      <c r="L27" s="752">
        <v>46223</v>
      </c>
      <c r="M27" s="764"/>
      <c r="N27" s="796" t="s">
        <v>114</v>
      </c>
      <c r="P27" s="894">
        <v>16.3</v>
      </c>
    </row>
    <row r="28" spans="1:16">
      <c r="A28" s="617">
        <v>21</v>
      </c>
      <c r="B28" s="562"/>
      <c r="C28" s="503" t="s">
        <v>110</v>
      </c>
      <c r="D28" s="563" t="s">
        <v>115</v>
      </c>
      <c r="E28" s="563" t="s">
        <v>116</v>
      </c>
      <c r="F28" s="563" t="s">
        <v>115</v>
      </c>
      <c r="G28" s="632">
        <v>43.5169</v>
      </c>
      <c r="H28" s="632">
        <v>142.1951</v>
      </c>
      <c r="I28" s="495">
        <v>46144</v>
      </c>
      <c r="J28" s="444">
        <v>46165</v>
      </c>
      <c r="K28" s="792" t="s">
        <v>31</v>
      </c>
      <c r="L28" s="745">
        <v>46223</v>
      </c>
      <c r="M28" s="764"/>
      <c r="N28" s="702"/>
      <c r="P28" s="894">
        <v>16</v>
      </c>
    </row>
    <row r="29" spans="1:16">
      <c r="A29" s="617" t="s">
        <v>117</v>
      </c>
      <c r="B29" s="562"/>
      <c r="C29" s="503" t="s">
        <v>118</v>
      </c>
      <c r="D29" s="563" t="s">
        <v>119</v>
      </c>
      <c r="E29" s="563" t="s">
        <v>120</v>
      </c>
      <c r="F29" s="563" t="s">
        <v>121</v>
      </c>
      <c r="G29" s="632">
        <v>43.031399999999998</v>
      </c>
      <c r="H29" s="632">
        <v>141.69059999999999</v>
      </c>
      <c r="I29" s="495">
        <v>46130</v>
      </c>
      <c r="J29" s="444">
        <v>46161</v>
      </c>
      <c r="K29" s="445" t="s">
        <v>84</v>
      </c>
      <c r="L29" s="745">
        <v>46228</v>
      </c>
      <c r="M29" s="764"/>
      <c r="N29" s="702"/>
      <c r="P29" s="894">
        <v>16.600000000000001</v>
      </c>
    </row>
    <row r="30" spans="1:16">
      <c r="A30" s="617">
        <v>23</v>
      </c>
      <c r="B30" s="562"/>
      <c r="C30" s="503" t="s">
        <v>122</v>
      </c>
      <c r="D30" s="563" t="s">
        <v>123</v>
      </c>
      <c r="E30" s="563" t="s">
        <v>124</v>
      </c>
      <c r="F30" s="563" t="s">
        <v>125</v>
      </c>
      <c r="G30" s="695">
        <v>43.528298999999997</v>
      </c>
      <c r="H30" s="695">
        <v>141.83882</v>
      </c>
      <c r="I30" s="495">
        <v>46131</v>
      </c>
      <c r="J30" s="444">
        <v>46163</v>
      </c>
      <c r="K30" s="682" t="s">
        <v>31</v>
      </c>
      <c r="L30" s="745">
        <v>46221</v>
      </c>
      <c r="M30" s="764"/>
      <c r="N30" s="797" t="s">
        <v>126</v>
      </c>
      <c r="P30" s="894">
        <v>16.2</v>
      </c>
    </row>
    <row r="31" spans="1:16">
      <c r="A31" s="617">
        <v>24</v>
      </c>
      <c r="B31" s="562"/>
      <c r="C31" s="503" t="s">
        <v>127</v>
      </c>
      <c r="D31" s="563" t="s">
        <v>128</v>
      </c>
      <c r="E31" s="563" t="s">
        <v>129</v>
      </c>
      <c r="F31" s="563" t="s">
        <v>130</v>
      </c>
      <c r="G31" s="632">
        <v>43.453600000000002</v>
      </c>
      <c r="H31" s="632">
        <v>141.9109</v>
      </c>
      <c r="I31" s="495">
        <v>46138</v>
      </c>
      <c r="J31" s="444">
        <v>46171</v>
      </c>
      <c r="K31" s="445" t="s">
        <v>84</v>
      </c>
      <c r="L31" s="745">
        <v>46224</v>
      </c>
      <c r="M31" s="764"/>
      <c r="N31" s="702"/>
      <c r="P31" s="894">
        <v>15.7</v>
      </c>
    </row>
    <row r="32" spans="1:16" ht="30">
      <c r="A32" s="617">
        <v>25</v>
      </c>
      <c r="B32" s="562"/>
      <c r="C32" s="503" t="s">
        <v>131</v>
      </c>
      <c r="D32" s="563" t="s">
        <v>132</v>
      </c>
      <c r="E32" s="575" t="s">
        <v>133</v>
      </c>
      <c r="F32" s="563" t="s">
        <v>134</v>
      </c>
      <c r="G32" s="632">
        <v>43.0809</v>
      </c>
      <c r="H32" s="632">
        <v>141.7029</v>
      </c>
      <c r="I32" s="495">
        <v>46128</v>
      </c>
      <c r="J32" s="444">
        <v>46158</v>
      </c>
      <c r="K32" s="445" t="s">
        <v>31</v>
      </c>
      <c r="L32" s="745">
        <v>46217</v>
      </c>
      <c r="M32" s="764"/>
      <c r="N32" s="796" t="s">
        <v>135</v>
      </c>
      <c r="P32" s="894">
        <v>16.8</v>
      </c>
    </row>
    <row r="33" spans="1:16">
      <c r="A33" s="617">
        <v>26</v>
      </c>
      <c r="B33" s="562"/>
      <c r="C33" s="503" t="s">
        <v>136</v>
      </c>
      <c r="D33" s="563" t="s">
        <v>137</v>
      </c>
      <c r="E33" s="563" t="s">
        <v>138</v>
      </c>
      <c r="F33" s="563" t="s">
        <v>139</v>
      </c>
      <c r="G33" s="632">
        <v>43.358600000000003</v>
      </c>
      <c r="H33" s="632">
        <v>141.8571</v>
      </c>
      <c r="I33" s="495">
        <v>46137</v>
      </c>
      <c r="J33" s="444">
        <v>46154</v>
      </c>
      <c r="K33" s="800" t="s">
        <v>140</v>
      </c>
      <c r="L33" s="745">
        <v>46227</v>
      </c>
      <c r="M33" s="764"/>
      <c r="N33" s="702"/>
      <c r="P33" s="894">
        <v>16.100000000000001</v>
      </c>
    </row>
    <row r="34" spans="1:16" ht="30">
      <c r="A34" s="617">
        <v>27</v>
      </c>
      <c r="B34" s="562"/>
      <c r="C34" s="503" t="s">
        <v>141</v>
      </c>
      <c r="D34" s="563" t="s">
        <v>142</v>
      </c>
      <c r="E34" s="575" t="s">
        <v>143</v>
      </c>
      <c r="F34" s="563" t="s">
        <v>144</v>
      </c>
      <c r="G34" s="632">
        <v>43.756300000000003</v>
      </c>
      <c r="H34" s="632">
        <v>141.90119999999999</v>
      </c>
      <c r="I34" s="495">
        <v>46131</v>
      </c>
      <c r="J34" s="444">
        <v>46164</v>
      </c>
      <c r="K34" s="445" t="s">
        <v>84</v>
      </c>
      <c r="L34" s="745">
        <v>46224</v>
      </c>
      <c r="M34" s="764"/>
      <c r="N34" s="793" t="s">
        <v>145</v>
      </c>
      <c r="P34" s="894">
        <v>16.100000000000001</v>
      </c>
    </row>
    <row r="35" spans="1:16">
      <c r="A35" s="662">
        <v>28</v>
      </c>
      <c r="B35" s="786"/>
      <c r="C35" s="504" t="s">
        <v>141</v>
      </c>
      <c r="D35" s="569" t="s">
        <v>146</v>
      </c>
      <c r="E35" s="569" t="s">
        <v>147</v>
      </c>
      <c r="F35" s="569" t="s">
        <v>148</v>
      </c>
      <c r="G35" s="634">
        <v>43.696800000000003</v>
      </c>
      <c r="H35" s="634">
        <v>141.9341</v>
      </c>
      <c r="I35" s="640">
        <v>46130</v>
      </c>
      <c r="J35" s="681">
        <v>46161</v>
      </c>
      <c r="K35" s="683" t="s">
        <v>84</v>
      </c>
      <c r="L35" s="753">
        <v>46226</v>
      </c>
      <c r="M35" s="765"/>
      <c r="N35" s="798"/>
      <c r="P35" s="895">
        <v>16.2</v>
      </c>
    </row>
    <row r="36" spans="1:16">
      <c r="A36" s="544">
        <v>29</v>
      </c>
      <c r="B36" s="557" t="s">
        <v>149</v>
      </c>
      <c r="C36" s="558" t="s">
        <v>150</v>
      </c>
      <c r="D36" s="558" t="s">
        <v>151</v>
      </c>
      <c r="E36" s="558" t="s">
        <v>152</v>
      </c>
      <c r="F36" s="558" t="s">
        <v>153</v>
      </c>
      <c r="G36" s="641">
        <v>44.368572</v>
      </c>
      <c r="H36" s="641">
        <v>141.71839299999999</v>
      </c>
      <c r="I36" s="642">
        <v>45398</v>
      </c>
      <c r="J36" s="684">
        <v>45432</v>
      </c>
      <c r="K36" s="688" t="s">
        <v>154</v>
      </c>
      <c r="L36" s="744">
        <v>46225</v>
      </c>
      <c r="M36" s="763"/>
      <c r="N36" s="784"/>
      <c r="P36" s="891">
        <v>15.4</v>
      </c>
    </row>
    <row r="37" spans="1:16">
      <c r="A37" s="617">
        <v>30</v>
      </c>
      <c r="B37" s="787" t="s">
        <v>85</v>
      </c>
      <c r="C37" s="563" t="s">
        <v>150</v>
      </c>
      <c r="D37" s="563" t="s">
        <v>155</v>
      </c>
      <c r="E37" s="479" t="s">
        <v>156</v>
      </c>
      <c r="F37" s="563" t="s">
        <v>157</v>
      </c>
      <c r="G37" s="771">
        <v>44.000500000000002</v>
      </c>
      <c r="H37" s="771">
        <v>141.7578</v>
      </c>
      <c r="I37" s="635">
        <v>45397</v>
      </c>
      <c r="J37" s="685">
        <v>45431</v>
      </c>
      <c r="K37" s="686" t="s">
        <v>154</v>
      </c>
      <c r="L37" s="746">
        <v>46223</v>
      </c>
      <c r="M37" s="765"/>
      <c r="N37" s="703"/>
      <c r="P37" s="895">
        <v>16.100000000000001</v>
      </c>
    </row>
    <row r="38" spans="1:16">
      <c r="A38" s="498">
        <v>31</v>
      </c>
      <c r="B38" s="557" t="s">
        <v>158</v>
      </c>
      <c r="C38" s="788" t="s">
        <v>159</v>
      </c>
      <c r="D38" s="579" t="s">
        <v>160</v>
      </c>
      <c r="E38" s="579" t="s">
        <v>161</v>
      </c>
      <c r="F38" s="789" t="s">
        <v>162</v>
      </c>
      <c r="G38" s="630">
        <v>43.803699999999999</v>
      </c>
      <c r="H38" s="630">
        <v>142.45150000000001</v>
      </c>
      <c r="I38" s="710">
        <v>46125</v>
      </c>
      <c r="J38" s="451">
        <v>46155</v>
      </c>
      <c r="K38" s="452" t="s">
        <v>163</v>
      </c>
      <c r="L38" s="754"/>
      <c r="M38" s="763"/>
      <c r="N38" s="706"/>
      <c r="P38" s="892">
        <v>16.100000000000001</v>
      </c>
    </row>
    <row r="39" spans="1:16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46128</v>
      </c>
      <c r="J39" s="687">
        <v>46159</v>
      </c>
      <c r="K39" s="688" t="s">
        <v>46</v>
      </c>
      <c r="L39" s="747"/>
      <c r="M39" s="764"/>
      <c r="N39" s="702"/>
      <c r="P39" s="892">
        <v>15.6</v>
      </c>
    </row>
    <row r="40" spans="1:16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46131</v>
      </c>
      <c r="J40" s="455">
        <v>46158</v>
      </c>
      <c r="K40" s="456" t="s">
        <v>163</v>
      </c>
      <c r="L40" s="747">
        <v>46216</v>
      </c>
      <c r="M40" s="764"/>
      <c r="N40" s="702"/>
      <c r="P40" s="894">
        <v>15.7</v>
      </c>
    </row>
    <row r="41" spans="1:16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46133</v>
      </c>
      <c r="J41" s="455">
        <v>46170</v>
      </c>
      <c r="K41" s="456" t="s">
        <v>163</v>
      </c>
      <c r="L41" s="747">
        <v>46216</v>
      </c>
      <c r="M41" s="764"/>
      <c r="N41" s="702"/>
      <c r="P41" s="894">
        <v>16</v>
      </c>
    </row>
    <row r="42" spans="1:16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46122</v>
      </c>
      <c r="J42" s="455">
        <v>46155</v>
      </c>
      <c r="K42" s="456" t="s">
        <v>163</v>
      </c>
      <c r="L42" s="747">
        <v>46220</v>
      </c>
      <c r="M42" s="764"/>
      <c r="N42" s="702"/>
      <c r="P42" s="894">
        <v>16.3</v>
      </c>
    </row>
    <row r="43" spans="1:16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46130</v>
      </c>
      <c r="J43" s="455">
        <v>46162</v>
      </c>
      <c r="K43" s="456" t="s">
        <v>184</v>
      </c>
      <c r="L43" s="747">
        <v>46221</v>
      </c>
      <c r="M43" s="764"/>
      <c r="N43" s="702"/>
      <c r="P43" s="894">
        <v>17</v>
      </c>
    </row>
    <row r="44" spans="1:16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46125</v>
      </c>
      <c r="J44" s="455">
        <v>46155</v>
      </c>
      <c r="K44" s="456" t="s">
        <v>154</v>
      </c>
      <c r="L44" s="747"/>
      <c r="M44" s="764"/>
      <c r="N44" s="736"/>
      <c r="P44" s="892">
        <v>16.3</v>
      </c>
    </row>
    <row r="45" spans="1:16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46127</v>
      </c>
      <c r="J45" s="455">
        <v>46159</v>
      </c>
      <c r="K45" s="456" t="s">
        <v>154</v>
      </c>
      <c r="L45" s="755"/>
      <c r="M45" s="764"/>
      <c r="N45" s="707"/>
      <c r="P45" s="892">
        <v>15.9</v>
      </c>
    </row>
    <row r="46" spans="1:16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46132</v>
      </c>
      <c r="J46" s="455">
        <v>46167</v>
      </c>
      <c r="K46" s="456" t="s">
        <v>184</v>
      </c>
      <c r="L46" s="755">
        <v>46226</v>
      </c>
      <c r="M46" s="764"/>
      <c r="N46" s="707"/>
      <c r="P46" s="894">
        <v>16.8</v>
      </c>
    </row>
    <row r="47" spans="1:16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95">
        <v>43.997965999999998</v>
      </c>
      <c r="H47" s="795">
        <v>142.423697</v>
      </c>
      <c r="I47" s="648">
        <v>46130</v>
      </c>
      <c r="J47" s="689">
        <v>46161</v>
      </c>
      <c r="K47" s="686" t="s">
        <v>154</v>
      </c>
      <c r="L47" s="756">
        <v>46221</v>
      </c>
      <c r="M47" s="765"/>
      <c r="N47" s="794" t="s">
        <v>201</v>
      </c>
      <c r="P47" s="894">
        <v>16.600000000000001</v>
      </c>
    </row>
    <row r="48" spans="1:16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>
      <c r="B49" s="1"/>
      <c r="C49" s="1"/>
      <c r="D49" s="1"/>
      <c r="E49" s="1"/>
      <c r="F49" s="1"/>
      <c r="G49" s="1"/>
      <c r="H49" s="1"/>
      <c r="P49" s="782">
        <f>AVERAGE(P8:P47)</f>
        <v>16.352499999999999</v>
      </c>
    </row>
    <row r="50" spans="2:16">
      <c r="B50" s="1"/>
      <c r="C50" s="1"/>
      <c r="D50" s="1"/>
      <c r="E50" s="1"/>
      <c r="F50" s="1"/>
      <c r="G50" s="1"/>
      <c r="H50" s="1"/>
    </row>
    <row r="51" spans="2:16">
      <c r="B51" s="1"/>
      <c r="C51" s="1"/>
      <c r="D51" s="1"/>
      <c r="E51" s="1"/>
      <c r="F51" s="1"/>
      <c r="G51" s="1"/>
      <c r="H51" s="1"/>
    </row>
    <row r="52" spans="2:16">
      <c r="B52" s="1"/>
      <c r="C52" s="1"/>
      <c r="D52" s="1"/>
      <c r="E52" s="1"/>
      <c r="F52" s="1"/>
      <c r="G52" s="1"/>
      <c r="H52" s="1"/>
    </row>
    <row r="53" spans="2:16">
      <c r="B53" s="1"/>
      <c r="C53" s="1"/>
      <c r="D53" s="1"/>
      <c r="E53" s="1"/>
      <c r="F53" s="1"/>
      <c r="G53" s="1"/>
      <c r="H53" s="1"/>
    </row>
    <row r="54" spans="2:16">
      <c r="B54" s="1"/>
      <c r="C54" s="1"/>
      <c r="D54" s="1"/>
      <c r="E54" s="1"/>
      <c r="F54" s="1"/>
      <c r="G54" s="1"/>
      <c r="H54" s="1"/>
    </row>
    <row r="55" spans="2:16">
      <c r="B55" s="1"/>
      <c r="C55" s="1"/>
      <c r="D55" s="1"/>
      <c r="E55" s="1"/>
      <c r="F55" s="1"/>
      <c r="G55" s="1"/>
      <c r="H55" s="1"/>
    </row>
    <row r="56" spans="2:16">
      <c r="B56" s="1"/>
      <c r="C56" s="1"/>
      <c r="D56" s="1"/>
      <c r="E56" s="1"/>
      <c r="F56" s="1"/>
      <c r="G56" s="1"/>
      <c r="H56" s="1"/>
    </row>
    <row r="57" spans="2:16">
      <c r="B57" s="1"/>
      <c r="C57" s="1"/>
      <c r="D57" s="1"/>
      <c r="E57" s="1"/>
      <c r="F57" s="1"/>
      <c r="G57" s="1"/>
      <c r="H57" s="1"/>
    </row>
  </sheetData>
  <mergeCells count="18">
    <mergeCell ref="P4:P7"/>
    <mergeCell ref="A5:A7"/>
    <mergeCell ref="B5:B7"/>
    <mergeCell ref="C5:C7"/>
    <mergeCell ref="D5:D7"/>
    <mergeCell ref="N6:N7"/>
    <mergeCell ref="A3:K3"/>
    <mergeCell ref="A4:F4"/>
    <mergeCell ref="G4:G7"/>
    <mergeCell ref="H4:H7"/>
    <mergeCell ref="M4:M5"/>
    <mergeCell ref="M6:M7"/>
    <mergeCell ref="E5:E7"/>
    <mergeCell ref="F5:F7"/>
    <mergeCell ref="I6:I7"/>
    <mergeCell ref="J6:J7"/>
    <mergeCell ref="K6:K7"/>
    <mergeCell ref="L6:L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8B5E-72E4-4EAE-8D96-29CA2F08DFE8}">
  <sheetPr>
    <pageSetUpPr fitToPage="1"/>
  </sheetPr>
  <dimension ref="A1:P57"/>
  <sheetViews>
    <sheetView zoomScale="85" zoomScaleNormal="85" workbookViewId="0">
      <selection activeCell="L40" sqref="L40:L41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36.5" style="523" bestFit="1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5.1640625" style="1" customWidth="1"/>
    <col min="13" max="13" width="16.5" style="28" customWidth="1"/>
    <col min="14" max="14" width="15.83203125" style="523" customWidth="1"/>
    <col min="15" max="15" width="9" style="523"/>
    <col min="16" max="16" width="14.5" style="776" customWidth="1"/>
    <col min="17" max="16384" width="9" style="523"/>
  </cols>
  <sheetData>
    <row r="1" spans="1:16" ht="22">
      <c r="A1" s="517" t="s">
        <v>203</v>
      </c>
      <c r="L1" s="693"/>
      <c r="M1" s="693"/>
    </row>
    <row r="2" spans="1:16" ht="22">
      <c r="A2" s="517" t="s">
        <v>1</v>
      </c>
      <c r="L2" s="693"/>
      <c r="M2" s="693"/>
      <c r="P2" s="776">
        <v>45901</v>
      </c>
    </row>
    <row r="3" spans="1:16" ht="35.75" customHeight="1">
      <c r="A3" s="802" t="s">
        <v>204</v>
      </c>
      <c r="B3" s="803"/>
      <c r="C3" s="803"/>
      <c r="D3" s="803"/>
      <c r="E3" s="803"/>
      <c r="F3" s="803"/>
      <c r="G3" s="803"/>
      <c r="H3" s="803"/>
      <c r="I3" s="803"/>
      <c r="J3" s="803"/>
      <c r="K3" s="804"/>
      <c r="L3" s="769" t="s">
        <v>205</v>
      </c>
      <c r="M3" s="769" t="s">
        <v>4</v>
      </c>
      <c r="N3" s="698" t="s">
        <v>5</v>
      </c>
      <c r="P3" s="783" t="s">
        <v>6</v>
      </c>
    </row>
    <row r="4" spans="1:16">
      <c r="A4" s="805" t="s">
        <v>206</v>
      </c>
      <c r="B4" s="805"/>
      <c r="C4" s="805"/>
      <c r="D4" s="805"/>
      <c r="E4" s="805"/>
      <c r="F4" s="805"/>
      <c r="G4" s="806" t="s">
        <v>8</v>
      </c>
      <c r="H4" s="806" t="s">
        <v>9</v>
      </c>
      <c r="I4" s="622" t="s">
        <v>10</v>
      </c>
      <c r="J4" s="670" t="s">
        <v>11</v>
      </c>
      <c r="K4" s="670" t="s">
        <v>12</v>
      </c>
      <c r="L4" s="742" t="s">
        <v>13</v>
      </c>
      <c r="M4" s="809" t="s">
        <v>14</v>
      </c>
      <c r="N4" s="699"/>
      <c r="P4" s="825" t="s">
        <v>15</v>
      </c>
    </row>
    <row r="5" spans="1:16" ht="13.5" customHeight="1">
      <c r="A5" s="816" t="s">
        <v>16</v>
      </c>
      <c r="B5" s="828" t="s">
        <v>17</v>
      </c>
      <c r="C5" s="816" t="s">
        <v>18</v>
      </c>
      <c r="D5" s="816" t="s">
        <v>19</v>
      </c>
      <c r="E5" s="813" t="s">
        <v>20</v>
      </c>
      <c r="F5" s="816" t="s">
        <v>21</v>
      </c>
      <c r="G5" s="807"/>
      <c r="H5" s="807"/>
      <c r="I5" s="623"/>
      <c r="J5" s="671"/>
      <c r="K5" s="671" t="s">
        <v>22</v>
      </c>
      <c r="L5" s="743"/>
      <c r="M5" s="810"/>
      <c r="N5" s="700"/>
      <c r="P5" s="826"/>
    </row>
    <row r="6" spans="1:16" ht="13.5" customHeight="1">
      <c r="A6" s="816"/>
      <c r="B6" s="828"/>
      <c r="C6" s="816"/>
      <c r="D6" s="816"/>
      <c r="E6" s="814"/>
      <c r="F6" s="816"/>
      <c r="G6" s="807"/>
      <c r="H6" s="807"/>
      <c r="I6" s="817" t="s">
        <v>23</v>
      </c>
      <c r="J6" s="819" t="s">
        <v>23</v>
      </c>
      <c r="K6" s="821" t="s">
        <v>24</v>
      </c>
      <c r="L6" s="823" t="s">
        <v>23</v>
      </c>
      <c r="M6" s="811" t="s">
        <v>25</v>
      </c>
      <c r="N6" s="829"/>
      <c r="P6" s="826"/>
    </row>
    <row r="7" spans="1:16">
      <c r="A7" s="816"/>
      <c r="B7" s="828"/>
      <c r="C7" s="816"/>
      <c r="D7" s="816"/>
      <c r="E7" s="815"/>
      <c r="F7" s="816"/>
      <c r="G7" s="808"/>
      <c r="H7" s="808"/>
      <c r="I7" s="818"/>
      <c r="J7" s="820"/>
      <c r="K7" s="822"/>
      <c r="L7" s="824"/>
      <c r="M7" s="812"/>
      <c r="N7" s="830"/>
      <c r="P7" s="827"/>
    </row>
    <row r="8" spans="1:16">
      <c r="A8" s="507">
        <v>1</v>
      </c>
      <c r="B8" s="426" t="s">
        <v>26</v>
      </c>
      <c r="C8" s="402" t="s">
        <v>27</v>
      </c>
      <c r="D8" s="402" t="s">
        <v>28</v>
      </c>
      <c r="E8" s="402" t="s">
        <v>29</v>
      </c>
      <c r="F8" s="402" t="s">
        <v>30</v>
      </c>
      <c r="G8" s="624">
        <v>42.445399999999999</v>
      </c>
      <c r="H8" s="625">
        <v>139.9716</v>
      </c>
      <c r="I8" s="626">
        <v>45767</v>
      </c>
      <c r="J8" s="538">
        <v>45798</v>
      </c>
      <c r="K8" s="672" t="s">
        <v>51</v>
      </c>
      <c r="L8" s="744">
        <v>45856</v>
      </c>
      <c r="M8" s="757">
        <v>7</v>
      </c>
      <c r="N8" s="701"/>
      <c r="P8" s="778">
        <v>12.7</v>
      </c>
    </row>
    <row r="9" spans="1:16">
      <c r="A9" s="527">
        <v>2</v>
      </c>
      <c r="B9" s="427" t="s">
        <v>32</v>
      </c>
      <c r="C9" s="506" t="s">
        <v>33</v>
      </c>
      <c r="D9" s="412" t="s">
        <v>34</v>
      </c>
      <c r="E9" s="412" t="s">
        <v>35</v>
      </c>
      <c r="F9" s="506" t="s">
        <v>36</v>
      </c>
      <c r="G9" s="770">
        <v>42.488999999999997</v>
      </c>
      <c r="H9" s="770">
        <v>139.91059999999999</v>
      </c>
      <c r="I9" s="627">
        <v>45762</v>
      </c>
      <c r="J9" s="443">
        <v>45796</v>
      </c>
      <c r="K9" s="673" t="s">
        <v>154</v>
      </c>
      <c r="L9" s="745">
        <v>45863</v>
      </c>
      <c r="M9" s="758">
        <v>8.1</v>
      </c>
      <c r="N9" s="711"/>
      <c r="P9" s="779">
        <v>13.6</v>
      </c>
    </row>
    <row r="10" spans="1:16">
      <c r="A10" s="528">
        <v>3</v>
      </c>
      <c r="B10" s="658"/>
      <c r="C10" s="411" t="s">
        <v>37</v>
      </c>
      <c r="D10" s="411" t="s">
        <v>38</v>
      </c>
      <c r="E10" s="411" t="s">
        <v>39</v>
      </c>
      <c r="F10" s="411" t="s">
        <v>40</v>
      </c>
      <c r="G10" s="628">
        <v>42.038800000000002</v>
      </c>
      <c r="H10" s="628">
        <v>140.61940000000001</v>
      </c>
      <c r="I10" s="629">
        <v>45775</v>
      </c>
      <c r="J10" s="674">
        <v>45801</v>
      </c>
      <c r="K10" s="675" t="s">
        <v>51</v>
      </c>
      <c r="L10" s="746">
        <v>45860</v>
      </c>
      <c r="M10" s="759">
        <v>6.2</v>
      </c>
      <c r="N10" s="703"/>
      <c r="P10" s="780">
        <v>12.8</v>
      </c>
    </row>
    <row r="11" spans="1:16">
      <c r="A11" s="507">
        <v>4</v>
      </c>
      <c r="B11" s="426" t="s">
        <v>41</v>
      </c>
      <c r="C11" s="402" t="s">
        <v>42</v>
      </c>
      <c r="D11" s="402" t="s">
        <v>43</v>
      </c>
      <c r="E11" s="402" t="s">
        <v>44</v>
      </c>
      <c r="F11" s="402" t="s">
        <v>45</v>
      </c>
      <c r="G11" s="630">
        <v>42.993899999999996</v>
      </c>
      <c r="H11" s="630">
        <v>140.5916</v>
      </c>
      <c r="I11" s="631">
        <v>45767</v>
      </c>
      <c r="J11" s="676">
        <v>45797</v>
      </c>
      <c r="K11" s="696" t="s">
        <v>207</v>
      </c>
      <c r="L11" s="747">
        <v>45858</v>
      </c>
      <c r="M11" s="760">
        <v>7.5</v>
      </c>
      <c r="N11" s="702"/>
      <c r="P11" s="779">
        <v>12.7</v>
      </c>
    </row>
    <row r="12" spans="1:16">
      <c r="A12" s="527">
        <v>5</v>
      </c>
      <c r="B12" s="427" t="s">
        <v>32</v>
      </c>
      <c r="C12" s="412" t="s">
        <v>47</v>
      </c>
      <c r="D12" s="412" t="s">
        <v>48</v>
      </c>
      <c r="E12" s="412" t="s">
        <v>49</v>
      </c>
      <c r="F12" s="412" t="s">
        <v>50</v>
      </c>
      <c r="G12" s="632">
        <v>42.805900000000001</v>
      </c>
      <c r="H12" s="632">
        <v>140.53540000000001</v>
      </c>
      <c r="I12" s="633">
        <v>45764</v>
      </c>
      <c r="J12" s="678">
        <v>45794</v>
      </c>
      <c r="K12" s="497" t="s">
        <v>31</v>
      </c>
      <c r="L12" s="747">
        <v>45860</v>
      </c>
      <c r="M12" s="761">
        <v>6.9</v>
      </c>
      <c r="N12" s="702"/>
      <c r="P12" s="779">
        <v>13.3</v>
      </c>
    </row>
    <row r="13" spans="1:16">
      <c r="A13" s="528">
        <v>6</v>
      </c>
      <c r="B13" s="658"/>
      <c r="C13" s="411" t="s">
        <v>47</v>
      </c>
      <c r="D13" s="411" t="s">
        <v>52</v>
      </c>
      <c r="E13" s="411" t="s">
        <v>53</v>
      </c>
      <c r="F13" s="411" t="s">
        <v>54</v>
      </c>
      <c r="G13" s="634">
        <v>42.765099999999997</v>
      </c>
      <c r="H13" s="634">
        <v>140.6807</v>
      </c>
      <c r="I13" s="635">
        <v>45765</v>
      </c>
      <c r="J13" s="679">
        <v>45795</v>
      </c>
      <c r="K13" s="680" t="s">
        <v>31</v>
      </c>
      <c r="L13" s="748">
        <v>45860</v>
      </c>
      <c r="M13" s="762">
        <v>7.5</v>
      </c>
      <c r="N13" s="703"/>
      <c r="P13" s="779">
        <v>13.5</v>
      </c>
    </row>
    <row r="14" spans="1:16">
      <c r="A14" s="507">
        <v>7</v>
      </c>
      <c r="B14" s="426" t="s">
        <v>55</v>
      </c>
      <c r="C14" s="402" t="s">
        <v>56</v>
      </c>
      <c r="D14" s="402" t="s">
        <v>57</v>
      </c>
      <c r="E14" s="402" t="s">
        <v>58</v>
      </c>
      <c r="F14" s="402" t="s">
        <v>59</v>
      </c>
      <c r="G14" s="630">
        <v>42.714500000000001</v>
      </c>
      <c r="H14" s="630">
        <v>141.91540000000001</v>
      </c>
      <c r="I14" s="637">
        <v>45765</v>
      </c>
      <c r="J14" s="539">
        <v>45795</v>
      </c>
      <c r="K14" s="677" t="s">
        <v>208</v>
      </c>
      <c r="L14" s="749">
        <v>45856</v>
      </c>
      <c r="M14" s="763">
        <v>6.8</v>
      </c>
      <c r="N14" s="701"/>
      <c r="P14" s="778">
        <v>13.1</v>
      </c>
    </row>
    <row r="15" spans="1:16">
      <c r="A15" s="527">
        <v>8</v>
      </c>
      <c r="B15" s="427" t="s">
        <v>60</v>
      </c>
      <c r="C15" s="412" t="s">
        <v>56</v>
      </c>
      <c r="D15" s="412" t="s">
        <v>57</v>
      </c>
      <c r="E15" s="412" t="s">
        <v>61</v>
      </c>
      <c r="F15" s="412" t="s">
        <v>59</v>
      </c>
      <c r="G15" s="632">
        <v>42.654933999999997</v>
      </c>
      <c r="H15" s="632">
        <v>141.905777</v>
      </c>
      <c r="I15" s="495">
        <v>45772</v>
      </c>
      <c r="J15" s="444">
        <v>45803</v>
      </c>
      <c r="K15" s="497" t="s">
        <v>208</v>
      </c>
      <c r="L15" s="750">
        <v>45860</v>
      </c>
      <c r="M15" s="764">
        <v>7.1</v>
      </c>
      <c r="N15" s="702"/>
      <c r="P15" s="779">
        <v>12.9</v>
      </c>
    </row>
    <row r="16" spans="1:16">
      <c r="A16" s="527">
        <v>9</v>
      </c>
      <c r="B16" s="427"/>
      <c r="C16" s="412" t="s">
        <v>62</v>
      </c>
      <c r="D16" s="412" t="s">
        <v>63</v>
      </c>
      <c r="E16" s="412" t="s">
        <v>64</v>
      </c>
      <c r="F16" s="412" t="s">
        <v>65</v>
      </c>
      <c r="G16" s="632">
        <v>42.517400000000002</v>
      </c>
      <c r="H16" s="632">
        <v>142.3749</v>
      </c>
      <c r="I16" s="495">
        <v>45770</v>
      </c>
      <c r="J16" s="444">
        <v>45803</v>
      </c>
      <c r="K16" s="497" t="s">
        <v>209</v>
      </c>
      <c r="L16" s="747">
        <v>45858</v>
      </c>
      <c r="M16" s="764">
        <v>7.4</v>
      </c>
      <c r="N16" s="702"/>
      <c r="P16" s="779">
        <v>13.5</v>
      </c>
    </row>
    <row r="17" spans="1:16">
      <c r="A17" s="527">
        <v>10</v>
      </c>
      <c r="B17" s="427"/>
      <c r="C17" s="412" t="s">
        <v>67</v>
      </c>
      <c r="D17" s="412" t="s">
        <v>68</v>
      </c>
      <c r="E17" s="474" t="s">
        <v>69</v>
      </c>
      <c r="F17" s="412" t="s">
        <v>70</v>
      </c>
      <c r="G17" s="632">
        <v>42.432200000000002</v>
      </c>
      <c r="H17" s="632">
        <v>142.26070000000001</v>
      </c>
      <c r="I17" s="495">
        <v>45765</v>
      </c>
      <c r="J17" s="444">
        <v>45800</v>
      </c>
      <c r="K17" s="497" t="s">
        <v>210</v>
      </c>
      <c r="L17" s="747">
        <v>45856</v>
      </c>
      <c r="M17" s="764">
        <v>6.8</v>
      </c>
      <c r="N17" s="702"/>
      <c r="P17" s="779">
        <v>13.3</v>
      </c>
    </row>
    <row r="18" spans="1:16">
      <c r="A18" s="527">
        <v>11</v>
      </c>
      <c r="B18" s="427"/>
      <c r="C18" s="412" t="s">
        <v>71</v>
      </c>
      <c r="D18" s="412" t="s">
        <v>72</v>
      </c>
      <c r="E18" s="474" t="s">
        <v>73</v>
      </c>
      <c r="F18" s="412" t="s">
        <v>74</v>
      </c>
      <c r="G18" s="632">
        <v>42.261600000000001</v>
      </c>
      <c r="H18" s="632">
        <v>142.6377</v>
      </c>
      <c r="I18" s="495">
        <v>45765</v>
      </c>
      <c r="J18" s="495" t="s">
        <v>211</v>
      </c>
      <c r="K18" s="456" t="s">
        <v>208</v>
      </c>
      <c r="L18" s="747">
        <v>45856</v>
      </c>
      <c r="M18" s="764">
        <v>7.1</v>
      </c>
      <c r="N18" s="702"/>
      <c r="P18" s="779">
        <v>13.7</v>
      </c>
    </row>
    <row r="19" spans="1:16">
      <c r="A19" s="528">
        <v>12</v>
      </c>
      <c r="B19" s="658"/>
      <c r="C19" s="411" t="s">
        <v>75</v>
      </c>
      <c r="D19" s="411" t="s">
        <v>76</v>
      </c>
      <c r="E19" s="475" t="s">
        <v>77</v>
      </c>
      <c r="F19" s="411" t="s">
        <v>78</v>
      </c>
      <c r="G19" s="634">
        <v>42.551099999999998</v>
      </c>
      <c r="H19" s="634">
        <v>140.89859999999999</v>
      </c>
      <c r="I19" s="640">
        <v>45774</v>
      </c>
      <c r="J19" s="681">
        <v>45800</v>
      </c>
      <c r="K19" s="680" t="s">
        <v>212</v>
      </c>
      <c r="L19" s="751">
        <v>45858</v>
      </c>
      <c r="M19" s="765">
        <v>6.6</v>
      </c>
      <c r="N19" s="705"/>
      <c r="P19" s="780">
        <v>13.1</v>
      </c>
    </row>
    <row r="20" spans="1:16">
      <c r="A20" s="544">
        <v>13</v>
      </c>
      <c r="B20" s="545" t="s">
        <v>79</v>
      </c>
      <c r="C20" s="414" t="s">
        <v>80</v>
      </c>
      <c r="D20" s="414" t="s">
        <v>81</v>
      </c>
      <c r="E20" s="414" t="s">
        <v>82</v>
      </c>
      <c r="F20" s="414" t="s">
        <v>83</v>
      </c>
      <c r="G20" s="641">
        <v>43.216200000000001</v>
      </c>
      <c r="H20" s="641">
        <v>141.52809999999999</v>
      </c>
      <c r="I20" s="490">
        <v>45768</v>
      </c>
      <c r="J20" s="491">
        <v>45802</v>
      </c>
      <c r="K20" s="492" t="s">
        <v>213</v>
      </c>
      <c r="L20" s="744">
        <v>45856</v>
      </c>
      <c r="M20" s="766">
        <v>7.2</v>
      </c>
      <c r="N20" s="701" t="s">
        <v>214</v>
      </c>
      <c r="P20" s="778">
        <v>12.7</v>
      </c>
    </row>
    <row r="21" spans="1:16">
      <c r="A21" s="617">
        <v>14</v>
      </c>
      <c r="B21" s="659" t="s">
        <v>85</v>
      </c>
      <c r="C21" s="474" t="s">
        <v>86</v>
      </c>
      <c r="D21" s="474" t="s">
        <v>87</v>
      </c>
      <c r="E21" s="474" t="s">
        <v>88</v>
      </c>
      <c r="F21" s="474" t="s">
        <v>89</v>
      </c>
      <c r="G21" s="632">
        <v>42.922699999999999</v>
      </c>
      <c r="H21" s="632">
        <v>141.61259999999999</v>
      </c>
      <c r="I21" s="495">
        <v>45768</v>
      </c>
      <c r="J21" s="496">
        <v>45802</v>
      </c>
      <c r="K21" s="497" t="s">
        <v>31</v>
      </c>
      <c r="L21" s="745">
        <v>45856</v>
      </c>
      <c r="M21" s="767">
        <v>7.3</v>
      </c>
      <c r="N21" s="702" t="s">
        <v>214</v>
      </c>
      <c r="P21" s="780">
        <v>12.5</v>
      </c>
    </row>
    <row r="22" spans="1:16">
      <c r="A22" s="544">
        <v>15</v>
      </c>
      <c r="B22" s="545" t="s">
        <v>90</v>
      </c>
      <c r="C22" s="402" t="s">
        <v>91</v>
      </c>
      <c r="D22" s="414" t="s">
        <v>92</v>
      </c>
      <c r="E22" s="414" t="s">
        <v>93</v>
      </c>
      <c r="F22" s="414" t="s">
        <v>94</v>
      </c>
      <c r="G22" s="630">
        <v>43.145200000000003</v>
      </c>
      <c r="H22" s="630">
        <v>141.81379999999999</v>
      </c>
      <c r="I22" s="637">
        <v>45766</v>
      </c>
      <c r="J22" s="539">
        <v>45796</v>
      </c>
      <c r="K22" s="540" t="s">
        <v>31</v>
      </c>
      <c r="L22" s="744">
        <v>45863</v>
      </c>
      <c r="M22" s="763">
        <v>6.8</v>
      </c>
      <c r="N22" s="731" t="s">
        <v>215</v>
      </c>
      <c r="P22" s="778">
        <v>12.7</v>
      </c>
    </row>
    <row r="23" spans="1:16">
      <c r="A23" s="617">
        <v>16</v>
      </c>
      <c r="B23" s="660"/>
      <c r="C23" s="412" t="s">
        <v>91</v>
      </c>
      <c r="D23" s="474" t="s">
        <v>95</v>
      </c>
      <c r="E23" s="474" t="s">
        <v>96</v>
      </c>
      <c r="F23" s="474" t="s">
        <v>97</v>
      </c>
      <c r="G23" s="632">
        <v>43.183500000000002</v>
      </c>
      <c r="H23" s="632">
        <v>141.7028</v>
      </c>
      <c r="I23" s="495">
        <v>45766</v>
      </c>
      <c r="J23" s="443">
        <v>45796</v>
      </c>
      <c r="K23" s="697" t="s">
        <v>31</v>
      </c>
      <c r="L23" s="745">
        <v>45858</v>
      </c>
      <c r="M23" s="764">
        <v>6.5</v>
      </c>
      <c r="N23" s="731" t="s">
        <v>215</v>
      </c>
      <c r="P23" s="779">
        <v>12.4</v>
      </c>
    </row>
    <row r="24" spans="1:16">
      <c r="A24" s="617">
        <v>17</v>
      </c>
      <c r="B24" s="661" t="s">
        <v>98</v>
      </c>
      <c r="C24" s="412" t="s">
        <v>99</v>
      </c>
      <c r="D24" s="474" t="s">
        <v>100</v>
      </c>
      <c r="E24" s="474" t="s">
        <v>101</v>
      </c>
      <c r="F24" s="474" t="s">
        <v>102</v>
      </c>
      <c r="G24" s="632">
        <v>43.713799999999999</v>
      </c>
      <c r="H24" s="632">
        <v>141.89269999999999</v>
      </c>
      <c r="I24" s="495">
        <v>45771</v>
      </c>
      <c r="J24" s="444">
        <v>45799</v>
      </c>
      <c r="K24" s="445" t="s">
        <v>213</v>
      </c>
      <c r="L24" s="745">
        <v>45859</v>
      </c>
      <c r="M24" s="764">
        <v>7.3</v>
      </c>
      <c r="N24" s="731" t="s">
        <v>215</v>
      </c>
      <c r="P24" s="779">
        <v>13.2</v>
      </c>
    </row>
    <row r="25" spans="1:16">
      <c r="A25" s="617">
        <v>18</v>
      </c>
      <c r="B25" s="661"/>
      <c r="C25" s="412" t="s">
        <v>99</v>
      </c>
      <c r="D25" s="474" t="s">
        <v>103</v>
      </c>
      <c r="E25" s="474" t="s">
        <v>104</v>
      </c>
      <c r="F25" s="474" t="s">
        <v>105</v>
      </c>
      <c r="G25" s="632">
        <v>43.720700000000001</v>
      </c>
      <c r="H25" s="632">
        <v>142.07060000000001</v>
      </c>
      <c r="I25" s="495">
        <v>45764</v>
      </c>
      <c r="J25" s="444">
        <v>45793</v>
      </c>
      <c r="K25" s="445" t="s">
        <v>213</v>
      </c>
      <c r="L25" s="745">
        <v>45854</v>
      </c>
      <c r="M25" s="764">
        <v>7</v>
      </c>
      <c r="N25" s="731" t="s">
        <v>215</v>
      </c>
      <c r="P25" s="779">
        <v>13.4</v>
      </c>
    </row>
    <row r="26" spans="1:16">
      <c r="A26" s="617">
        <v>19</v>
      </c>
      <c r="B26" s="661"/>
      <c r="C26" s="412" t="s">
        <v>106</v>
      </c>
      <c r="D26" s="474" t="s">
        <v>107</v>
      </c>
      <c r="E26" s="474" t="s">
        <v>108</v>
      </c>
      <c r="F26" s="474" t="s">
        <v>109</v>
      </c>
      <c r="G26" s="632">
        <v>43.063000000000002</v>
      </c>
      <c r="H26" s="632">
        <v>141.81209999999999</v>
      </c>
      <c r="I26" s="773">
        <v>45763</v>
      </c>
      <c r="J26" s="774">
        <v>45803</v>
      </c>
      <c r="K26" s="694" t="s">
        <v>84</v>
      </c>
      <c r="L26" s="775">
        <v>45858</v>
      </c>
      <c r="M26" s="768">
        <v>6.6</v>
      </c>
      <c r="N26" s="731" t="s">
        <v>215</v>
      </c>
      <c r="P26" s="781">
        <v>12.3</v>
      </c>
    </row>
    <row r="27" spans="1:16">
      <c r="A27" s="617">
        <v>20</v>
      </c>
      <c r="B27" s="661"/>
      <c r="C27" s="412" t="s">
        <v>110</v>
      </c>
      <c r="D27" s="474" t="s">
        <v>111</v>
      </c>
      <c r="E27" s="474" t="s">
        <v>216</v>
      </c>
      <c r="F27" s="474" t="s">
        <v>217</v>
      </c>
      <c r="G27" s="632">
        <v>43.593499999999999</v>
      </c>
      <c r="H27" s="632">
        <v>141.94370000000001</v>
      </c>
      <c r="I27" s="495">
        <v>45767</v>
      </c>
      <c r="J27" s="444">
        <v>45798</v>
      </c>
      <c r="K27" s="445" t="s">
        <v>84</v>
      </c>
      <c r="L27" s="752">
        <v>45850</v>
      </c>
      <c r="M27" s="764">
        <v>7</v>
      </c>
      <c r="N27" s="731" t="s">
        <v>215</v>
      </c>
      <c r="P27" s="779">
        <v>12.7</v>
      </c>
    </row>
    <row r="28" spans="1:16">
      <c r="A28" s="617">
        <v>21</v>
      </c>
      <c r="B28" s="661"/>
      <c r="C28" s="412" t="s">
        <v>110</v>
      </c>
      <c r="D28" s="474" t="s">
        <v>115</v>
      </c>
      <c r="E28" s="474" t="s">
        <v>116</v>
      </c>
      <c r="F28" s="474" t="s">
        <v>115</v>
      </c>
      <c r="G28" s="632">
        <v>43.5169</v>
      </c>
      <c r="H28" s="632">
        <v>142.1951</v>
      </c>
      <c r="I28" s="495">
        <v>45773</v>
      </c>
      <c r="J28" s="444">
        <v>45806</v>
      </c>
      <c r="K28" s="694" t="s">
        <v>31</v>
      </c>
      <c r="L28" s="745">
        <v>45866</v>
      </c>
      <c r="M28" s="764">
        <v>7.1</v>
      </c>
      <c r="N28" s="731" t="s">
        <v>215</v>
      </c>
      <c r="P28" s="781">
        <v>14</v>
      </c>
    </row>
    <row r="29" spans="1:16">
      <c r="A29" s="617" t="s">
        <v>117</v>
      </c>
      <c r="B29" s="661"/>
      <c r="C29" s="412" t="s">
        <v>118</v>
      </c>
      <c r="D29" s="474" t="s">
        <v>119</v>
      </c>
      <c r="E29" s="474" t="s">
        <v>120</v>
      </c>
      <c r="F29" s="474" t="s">
        <v>121</v>
      </c>
      <c r="G29" s="632">
        <v>43.031399999999998</v>
      </c>
      <c r="H29" s="632">
        <v>141.69059999999999</v>
      </c>
      <c r="I29" s="495">
        <v>45767</v>
      </c>
      <c r="J29" s="444">
        <v>45799</v>
      </c>
      <c r="K29" s="445" t="s">
        <v>84</v>
      </c>
      <c r="L29" s="745">
        <v>45865</v>
      </c>
      <c r="M29" s="764">
        <v>6.7</v>
      </c>
      <c r="N29" s="731" t="s">
        <v>215</v>
      </c>
      <c r="P29" s="779">
        <v>12.6</v>
      </c>
    </row>
    <row r="30" spans="1:16">
      <c r="A30" s="617">
        <v>23</v>
      </c>
      <c r="B30" s="661"/>
      <c r="C30" s="412" t="s">
        <v>122</v>
      </c>
      <c r="D30" s="474" t="s">
        <v>123</v>
      </c>
      <c r="E30" s="474" t="s">
        <v>124</v>
      </c>
      <c r="F30" s="474" t="s">
        <v>125</v>
      </c>
      <c r="G30" s="632">
        <v>43.525300000000001</v>
      </c>
      <c r="H30" s="632">
        <v>141.83099999999999</v>
      </c>
      <c r="I30" s="495">
        <v>45766</v>
      </c>
      <c r="J30" s="444">
        <v>45796</v>
      </c>
      <c r="K30" s="682" t="s">
        <v>84</v>
      </c>
      <c r="L30" s="745">
        <v>45858</v>
      </c>
      <c r="M30" s="764">
        <v>7</v>
      </c>
      <c r="N30" s="731" t="s">
        <v>215</v>
      </c>
      <c r="P30" s="779">
        <v>12.9</v>
      </c>
    </row>
    <row r="31" spans="1:16">
      <c r="A31" s="617">
        <v>24</v>
      </c>
      <c r="B31" s="661"/>
      <c r="C31" s="412" t="s">
        <v>127</v>
      </c>
      <c r="D31" s="474" t="s">
        <v>128</v>
      </c>
      <c r="E31" s="474" t="s">
        <v>129</v>
      </c>
      <c r="F31" s="575" t="s">
        <v>130</v>
      </c>
      <c r="G31" s="632">
        <v>43.453600000000002</v>
      </c>
      <c r="H31" s="632">
        <v>141.9109</v>
      </c>
      <c r="I31" s="495">
        <v>45772</v>
      </c>
      <c r="J31" s="444">
        <v>45810</v>
      </c>
      <c r="K31" s="445" t="s">
        <v>84</v>
      </c>
      <c r="L31" s="745">
        <v>45860</v>
      </c>
      <c r="M31" s="764">
        <v>7.4</v>
      </c>
      <c r="N31" s="702" t="s">
        <v>215</v>
      </c>
      <c r="P31" s="779">
        <v>12.4</v>
      </c>
    </row>
    <row r="32" spans="1:16">
      <c r="A32" s="617">
        <v>25</v>
      </c>
      <c r="B32" s="661"/>
      <c r="C32" s="412" t="s">
        <v>131</v>
      </c>
      <c r="D32" s="474" t="s">
        <v>132</v>
      </c>
      <c r="E32" s="474" t="s">
        <v>218</v>
      </c>
      <c r="F32" s="474" t="s">
        <v>134</v>
      </c>
      <c r="G32" s="632">
        <v>43.0809</v>
      </c>
      <c r="H32" s="632">
        <v>141.7029</v>
      </c>
      <c r="I32" s="495">
        <v>45764</v>
      </c>
      <c r="J32" s="444">
        <v>45795</v>
      </c>
      <c r="K32" s="445" t="s">
        <v>31</v>
      </c>
      <c r="L32" s="745">
        <v>45854</v>
      </c>
      <c r="M32" s="764">
        <v>7.2</v>
      </c>
      <c r="N32" s="702" t="s">
        <v>215</v>
      </c>
      <c r="P32" s="779">
        <v>12.6</v>
      </c>
    </row>
    <row r="33" spans="1:16">
      <c r="A33" s="617">
        <v>26</v>
      </c>
      <c r="B33" s="661"/>
      <c r="C33" s="412" t="s">
        <v>136</v>
      </c>
      <c r="D33" s="474" t="s">
        <v>137</v>
      </c>
      <c r="E33" s="474" t="s">
        <v>138</v>
      </c>
      <c r="F33" s="474" t="s">
        <v>139</v>
      </c>
      <c r="G33" s="632">
        <v>43.358600000000003</v>
      </c>
      <c r="H33" s="632">
        <v>141.8571</v>
      </c>
      <c r="I33" s="495">
        <v>45764</v>
      </c>
      <c r="J33" s="444">
        <v>45796</v>
      </c>
      <c r="K33" s="445" t="s">
        <v>84</v>
      </c>
      <c r="L33" s="745">
        <v>45854</v>
      </c>
      <c r="M33" s="764">
        <v>7.1</v>
      </c>
      <c r="N33" s="702" t="s">
        <v>215</v>
      </c>
      <c r="P33" s="779">
        <v>12.7</v>
      </c>
    </row>
    <row r="34" spans="1:16">
      <c r="A34" s="617">
        <v>27</v>
      </c>
      <c r="B34" s="661"/>
      <c r="C34" s="412" t="s">
        <v>141</v>
      </c>
      <c r="D34" s="474" t="s">
        <v>142</v>
      </c>
      <c r="E34" s="474" t="s">
        <v>219</v>
      </c>
      <c r="F34" s="474" t="s">
        <v>144</v>
      </c>
      <c r="G34" s="632">
        <v>43.756300000000003</v>
      </c>
      <c r="H34" s="632">
        <v>141.90119999999999</v>
      </c>
      <c r="I34" s="495">
        <v>45767</v>
      </c>
      <c r="J34" s="444">
        <v>45800</v>
      </c>
      <c r="K34" s="445" t="s">
        <v>84</v>
      </c>
      <c r="L34" s="745">
        <v>45854</v>
      </c>
      <c r="M34" s="764">
        <v>7.5</v>
      </c>
      <c r="N34" s="702" t="s">
        <v>215</v>
      </c>
      <c r="P34" s="779">
        <v>13.2</v>
      </c>
    </row>
    <row r="35" spans="1:16">
      <c r="A35" s="662">
        <v>28</v>
      </c>
      <c r="B35" s="663"/>
      <c r="C35" s="411" t="s">
        <v>141</v>
      </c>
      <c r="D35" s="475" t="s">
        <v>146</v>
      </c>
      <c r="E35" s="475" t="s">
        <v>147</v>
      </c>
      <c r="F35" s="475" t="s">
        <v>148</v>
      </c>
      <c r="G35" s="634">
        <v>43.696800000000003</v>
      </c>
      <c r="H35" s="634">
        <v>141.9341</v>
      </c>
      <c r="I35" s="640">
        <v>45765</v>
      </c>
      <c r="J35" s="681">
        <v>45797</v>
      </c>
      <c r="K35" s="683" t="s">
        <v>84</v>
      </c>
      <c r="L35" s="753">
        <v>45855</v>
      </c>
      <c r="M35" s="765">
        <v>7.3</v>
      </c>
      <c r="N35" s="703" t="s">
        <v>215</v>
      </c>
      <c r="P35" s="780">
        <v>13.1</v>
      </c>
    </row>
    <row r="36" spans="1:16">
      <c r="A36" s="544">
        <v>29</v>
      </c>
      <c r="B36" s="545" t="s">
        <v>149</v>
      </c>
      <c r="C36" s="414" t="s">
        <v>150</v>
      </c>
      <c r="D36" s="414" t="s">
        <v>151</v>
      </c>
      <c r="E36" s="414" t="s">
        <v>152</v>
      </c>
      <c r="F36" s="414" t="s">
        <v>153</v>
      </c>
      <c r="G36" s="641">
        <v>44.368572</v>
      </c>
      <c r="H36" s="641">
        <v>141.71839299999999</v>
      </c>
      <c r="I36" s="642">
        <v>45764</v>
      </c>
      <c r="J36" s="684">
        <v>45798</v>
      </c>
      <c r="K36" s="688" t="s">
        <v>220</v>
      </c>
      <c r="L36" s="744">
        <v>45860</v>
      </c>
      <c r="M36" s="763">
        <v>7.1</v>
      </c>
      <c r="N36" s="784"/>
      <c r="P36" s="778">
        <v>13.2</v>
      </c>
    </row>
    <row r="37" spans="1:16">
      <c r="A37" s="617">
        <v>30</v>
      </c>
      <c r="B37" s="618" t="s">
        <v>85</v>
      </c>
      <c r="C37" s="474" t="s">
        <v>150</v>
      </c>
      <c r="D37" s="474" t="s">
        <v>155</v>
      </c>
      <c r="E37" s="473" t="s">
        <v>156</v>
      </c>
      <c r="F37" s="474" t="s">
        <v>157</v>
      </c>
      <c r="G37" s="771">
        <v>44.000500000000002</v>
      </c>
      <c r="H37" s="771">
        <v>141.7578</v>
      </c>
      <c r="I37" s="635">
        <v>45763</v>
      </c>
      <c r="J37" s="685">
        <v>45797</v>
      </c>
      <c r="K37" s="686" t="s">
        <v>220</v>
      </c>
      <c r="L37" s="746">
        <v>45858</v>
      </c>
      <c r="M37" s="765">
        <v>6.8</v>
      </c>
      <c r="N37" s="703"/>
      <c r="P37" s="780">
        <v>13.3</v>
      </c>
    </row>
    <row r="38" spans="1:16">
      <c r="A38" s="498">
        <v>31</v>
      </c>
      <c r="B38" s="545" t="s">
        <v>158</v>
      </c>
      <c r="C38" s="714" t="s">
        <v>159</v>
      </c>
      <c r="D38" s="470" t="s">
        <v>160</v>
      </c>
      <c r="E38" s="470" t="s">
        <v>161</v>
      </c>
      <c r="F38" s="709" t="s">
        <v>162</v>
      </c>
      <c r="G38" s="630">
        <v>43.803699999999999</v>
      </c>
      <c r="H38" s="630">
        <v>142.45150000000001</v>
      </c>
      <c r="I38" s="710">
        <v>45760</v>
      </c>
      <c r="J38" s="451">
        <v>45790</v>
      </c>
      <c r="K38" s="452" t="s">
        <v>154</v>
      </c>
      <c r="L38" s="754">
        <v>45853</v>
      </c>
      <c r="M38" s="763">
        <v>7.2</v>
      </c>
      <c r="N38" s="706"/>
      <c r="P38" s="779">
        <v>12.8</v>
      </c>
    </row>
    <row r="39" spans="1:16">
      <c r="A39" s="617">
        <v>32</v>
      </c>
      <c r="B39" s="659"/>
      <c r="C39" s="412" t="s">
        <v>164</v>
      </c>
      <c r="D39" s="474" t="s">
        <v>165</v>
      </c>
      <c r="E39" s="474" t="s">
        <v>166</v>
      </c>
      <c r="F39" s="474" t="s">
        <v>167</v>
      </c>
      <c r="G39" s="644">
        <v>43.831299999999999</v>
      </c>
      <c r="H39" s="644">
        <v>142.39680000000001</v>
      </c>
      <c r="I39" s="645">
        <v>45762</v>
      </c>
      <c r="J39" s="687">
        <v>45794</v>
      </c>
      <c r="K39" s="688" t="s">
        <v>221</v>
      </c>
      <c r="L39" s="747">
        <v>45853</v>
      </c>
      <c r="M39" s="764">
        <v>7.8</v>
      </c>
      <c r="N39" s="702"/>
      <c r="P39" s="779">
        <v>12.8</v>
      </c>
    </row>
    <row r="40" spans="1:16">
      <c r="A40" s="617">
        <v>33</v>
      </c>
      <c r="B40" s="659" t="s">
        <v>168</v>
      </c>
      <c r="C40" s="412" t="s">
        <v>169</v>
      </c>
      <c r="D40" s="474" t="s">
        <v>170</v>
      </c>
      <c r="E40" s="474" t="s">
        <v>171</v>
      </c>
      <c r="F40" s="474" t="s">
        <v>172</v>
      </c>
      <c r="G40" s="632">
        <v>43.392699999999998</v>
      </c>
      <c r="H40" s="632">
        <v>142.39779999999999</v>
      </c>
      <c r="I40" s="646">
        <v>45766</v>
      </c>
      <c r="J40" s="455">
        <v>45797</v>
      </c>
      <c r="K40" s="688" t="s">
        <v>220</v>
      </c>
      <c r="L40" s="747">
        <v>45855</v>
      </c>
      <c r="M40" s="764">
        <v>6.9</v>
      </c>
      <c r="N40" s="702"/>
      <c r="P40" s="779">
        <v>12.4</v>
      </c>
    </row>
    <row r="41" spans="1:16">
      <c r="A41" s="617">
        <v>34</v>
      </c>
      <c r="B41" s="659"/>
      <c r="C41" s="412" t="s">
        <v>169</v>
      </c>
      <c r="D41" s="474" t="s">
        <v>173</v>
      </c>
      <c r="E41" s="474" t="s">
        <v>174</v>
      </c>
      <c r="F41" s="474" t="s">
        <v>175</v>
      </c>
      <c r="G41" s="632">
        <v>43.430799999999998</v>
      </c>
      <c r="H41" s="632">
        <v>142.43090000000001</v>
      </c>
      <c r="I41" s="646">
        <v>45766</v>
      </c>
      <c r="J41" s="455">
        <v>45804</v>
      </c>
      <c r="K41" s="688" t="s">
        <v>220</v>
      </c>
      <c r="L41" s="747">
        <v>45855</v>
      </c>
      <c r="M41" s="764">
        <v>7.2</v>
      </c>
      <c r="N41" s="702"/>
      <c r="P41" s="779">
        <v>12.3</v>
      </c>
    </row>
    <row r="42" spans="1:16">
      <c r="A42" s="617">
        <v>35</v>
      </c>
      <c r="B42" s="664"/>
      <c r="C42" s="412" t="s">
        <v>176</v>
      </c>
      <c r="D42" s="474" t="s">
        <v>177</v>
      </c>
      <c r="E42" s="474" t="s">
        <v>178</v>
      </c>
      <c r="F42" s="474" t="s">
        <v>179</v>
      </c>
      <c r="G42" s="632">
        <v>43.703099999999999</v>
      </c>
      <c r="H42" s="632">
        <v>142.44220000000001</v>
      </c>
      <c r="I42" s="646">
        <v>45759</v>
      </c>
      <c r="J42" s="455">
        <v>45790</v>
      </c>
      <c r="K42" s="456" t="s">
        <v>220</v>
      </c>
      <c r="L42" s="747">
        <v>45853</v>
      </c>
      <c r="M42" s="764">
        <v>7.4</v>
      </c>
      <c r="N42" s="702"/>
      <c r="P42" s="779">
        <v>12.8</v>
      </c>
    </row>
    <row r="43" spans="1:16">
      <c r="A43" s="617">
        <v>36</v>
      </c>
      <c r="B43" s="659"/>
      <c r="C43" s="412" t="s">
        <v>180</v>
      </c>
      <c r="D43" s="474" t="s">
        <v>181</v>
      </c>
      <c r="E43" s="474" t="s">
        <v>182</v>
      </c>
      <c r="F43" s="474" t="s">
        <v>183</v>
      </c>
      <c r="G43" s="632">
        <v>43.6995</v>
      </c>
      <c r="H43" s="632">
        <v>142.5335</v>
      </c>
      <c r="I43" s="646">
        <v>45766</v>
      </c>
      <c r="J43" s="455">
        <v>45792</v>
      </c>
      <c r="K43" s="456" t="s">
        <v>222</v>
      </c>
      <c r="L43" s="747">
        <v>45853</v>
      </c>
      <c r="M43" s="764">
        <v>7</v>
      </c>
      <c r="N43" s="702"/>
      <c r="P43" s="779">
        <v>13.3</v>
      </c>
    </row>
    <row r="44" spans="1:16">
      <c r="A44" s="617">
        <v>37</v>
      </c>
      <c r="B44" s="659"/>
      <c r="C44" s="412" t="s">
        <v>185</v>
      </c>
      <c r="D44" s="474" t="s">
        <v>186</v>
      </c>
      <c r="E44" s="474" t="s">
        <v>187</v>
      </c>
      <c r="F44" s="474" t="s">
        <v>188</v>
      </c>
      <c r="G44" s="632">
        <v>43.841327999999997</v>
      </c>
      <c r="H44" s="632">
        <v>142.50574700000001</v>
      </c>
      <c r="I44" s="646">
        <v>45762</v>
      </c>
      <c r="J44" s="455">
        <v>45792</v>
      </c>
      <c r="K44" s="456" t="s">
        <v>223</v>
      </c>
      <c r="L44" s="747">
        <v>45850</v>
      </c>
      <c r="M44" s="764">
        <v>7.2</v>
      </c>
      <c r="N44" s="736"/>
      <c r="P44" s="779">
        <v>13</v>
      </c>
    </row>
    <row r="45" spans="1:16">
      <c r="A45" s="617">
        <v>38</v>
      </c>
      <c r="B45" s="659"/>
      <c r="C45" s="412" t="s">
        <v>189</v>
      </c>
      <c r="D45" s="474" t="s">
        <v>190</v>
      </c>
      <c r="E45" s="474" t="s">
        <v>191</v>
      </c>
      <c r="F45" s="474" t="s">
        <v>192</v>
      </c>
      <c r="G45" s="632">
        <v>43.865600000000001</v>
      </c>
      <c r="H45" s="632">
        <v>142.4709</v>
      </c>
      <c r="I45" s="646">
        <v>45766</v>
      </c>
      <c r="J45" s="455">
        <v>45798</v>
      </c>
      <c r="K45" s="456" t="s">
        <v>224</v>
      </c>
      <c r="L45" s="755">
        <v>45855</v>
      </c>
      <c r="M45" s="764">
        <v>7.4</v>
      </c>
      <c r="N45" s="707"/>
      <c r="P45" s="779">
        <v>13.4</v>
      </c>
    </row>
    <row r="46" spans="1:16">
      <c r="A46" s="617">
        <v>39</v>
      </c>
      <c r="B46" s="659"/>
      <c r="C46" s="412" t="s">
        <v>193</v>
      </c>
      <c r="D46" s="474" t="s">
        <v>194</v>
      </c>
      <c r="E46" s="474" t="s">
        <v>195</v>
      </c>
      <c r="F46" s="474" t="s">
        <v>196</v>
      </c>
      <c r="G46" s="632">
        <v>43.589799999999997</v>
      </c>
      <c r="H46" s="632">
        <v>142.4836</v>
      </c>
      <c r="I46" s="646">
        <v>45767</v>
      </c>
      <c r="J46" s="455">
        <v>45802</v>
      </c>
      <c r="K46" s="456" t="s">
        <v>51</v>
      </c>
      <c r="L46" s="755">
        <v>45858</v>
      </c>
      <c r="M46" s="764">
        <v>7.8</v>
      </c>
      <c r="N46" s="707"/>
      <c r="P46" s="779">
        <v>13.6</v>
      </c>
    </row>
    <row r="47" spans="1:16">
      <c r="A47" s="543">
        <v>40</v>
      </c>
      <c r="B47" s="658"/>
      <c r="C47" s="397" t="s">
        <v>197</v>
      </c>
      <c r="D47" s="397" t="s">
        <v>198</v>
      </c>
      <c r="E47" s="397" t="s">
        <v>199</v>
      </c>
      <c r="F47" s="397" t="s">
        <v>200</v>
      </c>
      <c r="G47" s="772">
        <v>43.999699999999997</v>
      </c>
      <c r="H47" s="772">
        <v>142.42500000000001</v>
      </c>
      <c r="I47" s="648">
        <v>45764</v>
      </c>
      <c r="J47" s="689">
        <v>45796</v>
      </c>
      <c r="K47" s="686" t="s">
        <v>224</v>
      </c>
      <c r="L47" s="756">
        <v>45848</v>
      </c>
      <c r="M47" s="765">
        <v>7.8</v>
      </c>
      <c r="N47" s="708"/>
      <c r="P47" s="779">
        <v>12.5</v>
      </c>
    </row>
    <row r="48" spans="1:16">
      <c r="B48" s="1"/>
      <c r="C48" s="1"/>
      <c r="D48" s="1"/>
      <c r="E48" s="1"/>
      <c r="F48" s="1"/>
      <c r="G48" s="1"/>
      <c r="H48" s="1"/>
      <c r="L48" s="12"/>
      <c r="P48" s="777" t="s">
        <v>202</v>
      </c>
    </row>
    <row r="49" spans="2:16">
      <c r="B49" s="1"/>
      <c r="C49" s="1"/>
      <c r="D49" s="1"/>
      <c r="E49" s="1"/>
      <c r="F49" s="1"/>
      <c r="G49" s="1"/>
      <c r="H49" s="1"/>
      <c r="P49" s="782">
        <f>AVERAGE(P8:P47)</f>
        <v>12.975</v>
      </c>
    </row>
    <row r="50" spans="2:16">
      <c r="B50" s="1"/>
      <c r="C50" s="1"/>
      <c r="D50" s="1"/>
      <c r="E50" s="1"/>
      <c r="F50" s="1"/>
      <c r="G50" s="1"/>
      <c r="H50" s="1"/>
    </row>
    <row r="51" spans="2:16">
      <c r="B51" s="1"/>
      <c r="C51" s="1"/>
      <c r="D51" s="1"/>
      <c r="E51" s="1"/>
      <c r="F51" s="1"/>
      <c r="G51" s="1"/>
      <c r="H51" s="1"/>
    </row>
    <row r="52" spans="2:16">
      <c r="B52" s="1"/>
      <c r="C52" s="1"/>
      <c r="D52" s="1"/>
      <c r="E52" s="1"/>
      <c r="F52" s="1"/>
      <c r="G52" s="1"/>
      <c r="H52" s="1"/>
    </row>
    <row r="53" spans="2:16">
      <c r="B53" s="1"/>
      <c r="C53" s="1"/>
      <c r="D53" s="1"/>
      <c r="E53" s="1"/>
      <c r="F53" s="1"/>
      <c r="G53" s="1"/>
      <c r="H53" s="1"/>
    </row>
    <row r="54" spans="2:16">
      <c r="B54" s="1"/>
      <c r="C54" s="1"/>
      <c r="D54" s="1"/>
      <c r="E54" s="1"/>
      <c r="F54" s="1"/>
      <c r="G54" s="1"/>
      <c r="H54" s="1"/>
    </row>
    <row r="55" spans="2:16">
      <c r="B55" s="1"/>
      <c r="C55" s="1"/>
      <c r="D55" s="1"/>
      <c r="E55" s="1"/>
      <c r="F55" s="1"/>
      <c r="G55" s="1"/>
      <c r="H55" s="1"/>
    </row>
    <row r="56" spans="2:16">
      <c r="B56" s="1"/>
      <c r="C56" s="1"/>
      <c r="D56" s="1"/>
      <c r="E56" s="1"/>
      <c r="F56" s="1"/>
      <c r="G56" s="1"/>
      <c r="H56" s="1"/>
    </row>
    <row r="57" spans="2:16">
      <c r="B57" s="1"/>
      <c r="C57" s="1"/>
      <c r="D57" s="1"/>
      <c r="E57" s="1"/>
      <c r="F57" s="1"/>
      <c r="G57" s="1"/>
      <c r="H57" s="1"/>
    </row>
  </sheetData>
  <mergeCells count="18">
    <mergeCell ref="P4:P7"/>
    <mergeCell ref="K6:K7"/>
    <mergeCell ref="L6:L7"/>
    <mergeCell ref="M6:M7"/>
    <mergeCell ref="N6:N7"/>
    <mergeCell ref="A3:K3"/>
    <mergeCell ref="A4:F4"/>
    <mergeCell ref="G4:G7"/>
    <mergeCell ref="H4:H7"/>
    <mergeCell ref="M4:M5"/>
    <mergeCell ref="A5:A7"/>
    <mergeCell ref="B5:B7"/>
    <mergeCell ref="C5:C7"/>
    <mergeCell ref="D5:D7"/>
    <mergeCell ref="E5:E7"/>
    <mergeCell ref="F5:F7"/>
    <mergeCell ref="I6:I7"/>
    <mergeCell ref="J6:J7"/>
  </mergeCells>
  <phoneticPr fontId="1"/>
  <pageMargins left="0.70866141732283472" right="0.70866141732283472" top="0.74803149606299213" bottom="0.74803149606299213" header="0.31496062992125984" footer="0.31496062992125984"/>
  <pageSetup paperSize="9" scale="64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BA3E-3875-4F00-B1C4-50A446E12ACD}">
  <sheetPr>
    <pageSetUpPr fitToPage="1"/>
  </sheetPr>
  <dimension ref="A1:N47"/>
  <sheetViews>
    <sheetView zoomScale="85" zoomScaleNormal="85" workbookViewId="0">
      <pane xSplit="6" ySplit="6" topLeftCell="G31" activePane="bottomRight" state="frozen"/>
      <selection pane="topRight" activeCell="D53" sqref="D53"/>
      <selection pane="bottomLeft" activeCell="D53" sqref="D53"/>
      <selection pane="bottomRight" activeCell="A39" sqref="A39:XFD40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13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10.5" style="1" customWidth="1"/>
    <col min="13" max="13" width="18.5" style="28" customWidth="1"/>
    <col min="14" max="14" width="19.5" style="523" bestFit="1" customWidth="1"/>
    <col min="15" max="16384" width="9" style="523"/>
  </cols>
  <sheetData>
    <row r="1" spans="1:14" ht="22">
      <c r="A1" s="517" t="s">
        <v>225</v>
      </c>
      <c r="L1" s="693">
        <v>45435</v>
      </c>
      <c r="M1" s="693" t="s">
        <v>226</v>
      </c>
    </row>
    <row r="2" spans="1:14" ht="22">
      <c r="A2" s="517" t="s">
        <v>1</v>
      </c>
      <c r="G2" s="831" t="s">
        <v>227</v>
      </c>
      <c r="H2" s="803"/>
      <c r="I2" s="803"/>
      <c r="J2" s="803"/>
      <c r="K2" s="804"/>
      <c r="L2" s="831" t="s">
        <v>228</v>
      </c>
      <c r="M2" s="803"/>
      <c r="N2" s="698" t="s">
        <v>5</v>
      </c>
    </row>
    <row r="3" spans="1:14">
      <c r="A3" s="805" t="s">
        <v>229</v>
      </c>
      <c r="B3" s="805"/>
      <c r="C3" s="805"/>
      <c r="D3" s="805"/>
      <c r="E3" s="805"/>
      <c r="F3" s="805"/>
      <c r="G3" s="806" t="s">
        <v>8</v>
      </c>
      <c r="H3" s="806" t="s">
        <v>9</v>
      </c>
      <c r="I3" s="622" t="s">
        <v>10</v>
      </c>
      <c r="J3" s="670" t="s">
        <v>11</v>
      </c>
      <c r="K3" s="670" t="s">
        <v>12</v>
      </c>
      <c r="L3" s="649" t="s">
        <v>13</v>
      </c>
      <c r="M3" s="832" t="s">
        <v>14</v>
      </c>
      <c r="N3" s="699"/>
    </row>
    <row r="4" spans="1:14" ht="13.5" customHeight="1">
      <c r="A4" s="816" t="s">
        <v>16</v>
      </c>
      <c r="B4" s="828" t="s">
        <v>17</v>
      </c>
      <c r="C4" s="816" t="s">
        <v>18</v>
      </c>
      <c r="D4" s="816" t="s">
        <v>19</v>
      </c>
      <c r="E4" s="813" t="s">
        <v>20</v>
      </c>
      <c r="F4" s="816" t="s">
        <v>21</v>
      </c>
      <c r="G4" s="807"/>
      <c r="H4" s="807"/>
      <c r="I4" s="623"/>
      <c r="J4" s="671"/>
      <c r="K4" s="671" t="s">
        <v>22</v>
      </c>
      <c r="L4" s="650"/>
      <c r="M4" s="833"/>
      <c r="N4" s="700"/>
    </row>
    <row r="5" spans="1:14" ht="13.5" customHeight="1">
      <c r="A5" s="816"/>
      <c r="B5" s="828"/>
      <c r="C5" s="816"/>
      <c r="D5" s="816"/>
      <c r="E5" s="814"/>
      <c r="F5" s="816"/>
      <c r="G5" s="807"/>
      <c r="H5" s="807"/>
      <c r="I5" s="817" t="s">
        <v>23</v>
      </c>
      <c r="J5" s="819" t="s">
        <v>23</v>
      </c>
      <c r="K5" s="821" t="s">
        <v>24</v>
      </c>
      <c r="L5" s="836" t="s">
        <v>23</v>
      </c>
      <c r="M5" s="834" t="s">
        <v>25</v>
      </c>
      <c r="N5" s="829"/>
    </row>
    <row r="6" spans="1:14">
      <c r="A6" s="816"/>
      <c r="B6" s="828"/>
      <c r="C6" s="816"/>
      <c r="D6" s="816"/>
      <c r="E6" s="815"/>
      <c r="F6" s="816"/>
      <c r="G6" s="808"/>
      <c r="H6" s="808"/>
      <c r="I6" s="818"/>
      <c r="J6" s="820"/>
      <c r="K6" s="822"/>
      <c r="L6" s="837"/>
      <c r="M6" s="835"/>
      <c r="N6" s="830"/>
    </row>
    <row r="7" spans="1:14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624">
        <v>42.445399999999999</v>
      </c>
      <c r="H7" s="625">
        <v>139.9716</v>
      </c>
      <c r="I7" s="626">
        <v>45401</v>
      </c>
      <c r="J7" s="538">
        <v>45432</v>
      </c>
      <c r="K7" s="672" t="s">
        <v>51</v>
      </c>
      <c r="L7" s="651">
        <v>45493</v>
      </c>
      <c r="M7" s="722">
        <v>6.8</v>
      </c>
      <c r="N7" s="701"/>
    </row>
    <row r="8" spans="1:14">
      <c r="A8" s="527">
        <v>2</v>
      </c>
      <c r="B8" s="427" t="s">
        <v>32</v>
      </c>
      <c r="C8" s="412" t="s">
        <v>230</v>
      </c>
      <c r="D8" s="412" t="s">
        <v>34</v>
      </c>
      <c r="E8" s="506" t="s">
        <v>35</v>
      </c>
      <c r="F8" s="412" t="s">
        <v>231</v>
      </c>
      <c r="G8" s="712">
        <v>42.488999999999997</v>
      </c>
      <c r="H8" s="712">
        <v>139.91059999999999</v>
      </c>
      <c r="I8" s="627">
        <v>45397</v>
      </c>
      <c r="J8" s="443">
        <v>45427</v>
      </c>
      <c r="K8" s="673" t="s">
        <v>154</v>
      </c>
      <c r="L8" s="652">
        <v>45496</v>
      </c>
      <c r="M8" s="723">
        <v>8.5</v>
      </c>
      <c r="N8" s="711" t="s">
        <v>232</v>
      </c>
    </row>
    <row r="9" spans="1:14">
      <c r="A9" s="528">
        <v>3</v>
      </c>
      <c r="B9" s="658"/>
      <c r="C9" s="411" t="s">
        <v>37</v>
      </c>
      <c r="D9" s="411" t="s">
        <v>38</v>
      </c>
      <c r="E9" s="411" t="s">
        <v>39</v>
      </c>
      <c r="F9" s="411" t="s">
        <v>40</v>
      </c>
      <c r="G9" s="628">
        <v>42.038800000000002</v>
      </c>
      <c r="H9" s="628">
        <v>140.61940000000001</v>
      </c>
      <c r="I9" s="629">
        <v>45410</v>
      </c>
      <c r="J9" s="674">
        <v>45437</v>
      </c>
      <c r="K9" s="675" t="s">
        <v>51</v>
      </c>
      <c r="L9" s="653">
        <v>45493</v>
      </c>
      <c r="M9" s="724">
        <v>6.1</v>
      </c>
      <c r="N9" s="703" t="s">
        <v>233</v>
      </c>
    </row>
    <row r="10" spans="1:14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630">
        <v>42.993899999999996</v>
      </c>
      <c r="H10" s="630">
        <v>140.5916</v>
      </c>
      <c r="I10" s="631">
        <v>45402</v>
      </c>
      <c r="J10" s="676">
        <v>45432</v>
      </c>
      <c r="K10" s="696" t="s">
        <v>207</v>
      </c>
      <c r="L10" s="665">
        <v>45499</v>
      </c>
      <c r="M10" s="725">
        <v>7.3</v>
      </c>
      <c r="N10" s="702"/>
    </row>
    <row r="11" spans="1:14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632">
        <v>42.805900000000001</v>
      </c>
      <c r="H11" s="632">
        <v>140.53540000000001</v>
      </c>
      <c r="I11" s="633">
        <v>45035</v>
      </c>
      <c r="J11" s="678">
        <v>45064</v>
      </c>
      <c r="K11" s="497" t="s">
        <v>31</v>
      </c>
      <c r="L11" s="665">
        <v>45495</v>
      </c>
      <c r="M11" s="726">
        <v>6.8</v>
      </c>
      <c r="N11" s="702"/>
    </row>
    <row r="12" spans="1:14">
      <c r="A12" s="528">
        <v>6</v>
      </c>
      <c r="B12" s="658"/>
      <c r="C12" s="411" t="s">
        <v>47</v>
      </c>
      <c r="D12" s="411" t="s">
        <v>52</v>
      </c>
      <c r="E12" s="411" t="s">
        <v>53</v>
      </c>
      <c r="F12" s="411" t="s">
        <v>54</v>
      </c>
      <c r="G12" s="634">
        <v>42.765099999999997</v>
      </c>
      <c r="H12" s="634">
        <v>140.6807</v>
      </c>
      <c r="I12" s="635">
        <v>45033</v>
      </c>
      <c r="J12" s="679">
        <v>45064</v>
      </c>
      <c r="K12" s="680" t="s">
        <v>31</v>
      </c>
      <c r="L12" s="666">
        <v>45496</v>
      </c>
      <c r="M12" s="727">
        <v>7.7</v>
      </c>
      <c r="N12" s="703"/>
    </row>
    <row r="13" spans="1:14">
      <c r="A13" s="507">
        <v>7</v>
      </c>
      <c r="B13" s="426" t="s">
        <v>55</v>
      </c>
      <c r="C13" s="402" t="s">
        <v>56</v>
      </c>
      <c r="D13" s="402" t="s">
        <v>57</v>
      </c>
      <c r="E13" s="402" t="s">
        <v>58</v>
      </c>
      <c r="F13" s="402" t="s">
        <v>59</v>
      </c>
      <c r="G13" s="636">
        <v>42.714500000000001</v>
      </c>
      <c r="H13" s="636">
        <v>141.91540000000001</v>
      </c>
      <c r="I13" s="637">
        <v>45400</v>
      </c>
      <c r="J13" s="539">
        <v>45429</v>
      </c>
      <c r="K13" s="677" t="s">
        <v>46</v>
      </c>
      <c r="L13" s="667">
        <v>45495</v>
      </c>
      <c r="M13" s="728">
        <v>6.9</v>
      </c>
      <c r="N13" s="701"/>
    </row>
    <row r="14" spans="1:14">
      <c r="A14" s="527">
        <v>8</v>
      </c>
      <c r="B14" s="427" t="s">
        <v>60</v>
      </c>
      <c r="C14" s="412" t="s">
        <v>56</v>
      </c>
      <c r="D14" s="412" t="s">
        <v>57</v>
      </c>
      <c r="E14" s="412" t="s">
        <v>61</v>
      </c>
      <c r="F14" s="412" t="s">
        <v>59</v>
      </c>
      <c r="G14" s="638">
        <v>42.654933999999997</v>
      </c>
      <c r="H14" s="638">
        <v>141.905777</v>
      </c>
      <c r="I14" s="495">
        <v>45400</v>
      </c>
      <c r="J14" s="444">
        <v>45430</v>
      </c>
      <c r="K14" s="497" t="s">
        <v>46</v>
      </c>
      <c r="L14" s="715">
        <v>45502</v>
      </c>
      <c r="M14" s="729">
        <v>7.4</v>
      </c>
      <c r="N14" s="702"/>
    </row>
    <row r="15" spans="1:14">
      <c r="A15" s="527">
        <v>9</v>
      </c>
      <c r="B15" s="427"/>
      <c r="C15" s="412" t="s">
        <v>62</v>
      </c>
      <c r="D15" s="412" t="s">
        <v>63</v>
      </c>
      <c r="E15" s="412" t="s">
        <v>64</v>
      </c>
      <c r="F15" s="412" t="s">
        <v>65</v>
      </c>
      <c r="G15" s="638">
        <v>42.517400000000002</v>
      </c>
      <c r="H15" s="638">
        <v>142.3749</v>
      </c>
      <c r="I15" s="495">
        <v>45399</v>
      </c>
      <c r="J15" s="444">
        <v>45434</v>
      </c>
      <c r="K15" s="497" t="s">
        <v>209</v>
      </c>
      <c r="L15" s="665">
        <v>45496</v>
      </c>
      <c r="M15" s="729">
        <v>6.5</v>
      </c>
      <c r="N15" s="702"/>
    </row>
    <row r="16" spans="1:14">
      <c r="A16" s="527">
        <v>10</v>
      </c>
      <c r="B16" s="427"/>
      <c r="C16" s="412" t="s">
        <v>67</v>
      </c>
      <c r="D16" s="412" t="s">
        <v>68</v>
      </c>
      <c r="E16" s="474" t="s">
        <v>69</v>
      </c>
      <c r="F16" s="412" t="s">
        <v>70</v>
      </c>
      <c r="G16" s="638">
        <v>42.432200000000002</v>
      </c>
      <c r="H16" s="638">
        <v>142.26070000000001</v>
      </c>
      <c r="I16" s="495">
        <v>45398</v>
      </c>
      <c r="J16" s="444">
        <v>45432</v>
      </c>
      <c r="K16" s="497" t="s">
        <v>234</v>
      </c>
      <c r="L16" s="665">
        <v>45493</v>
      </c>
      <c r="M16" s="729">
        <v>7.3</v>
      </c>
      <c r="N16" s="702"/>
    </row>
    <row r="17" spans="1:14">
      <c r="A17" s="527">
        <v>11</v>
      </c>
      <c r="B17" s="427"/>
      <c r="C17" s="412" t="s">
        <v>71</v>
      </c>
      <c r="D17" s="412" t="s">
        <v>72</v>
      </c>
      <c r="E17" s="474" t="s">
        <v>73</v>
      </c>
      <c r="F17" s="412" t="s">
        <v>74</v>
      </c>
      <c r="G17" s="638">
        <v>42.261600000000001</v>
      </c>
      <c r="H17" s="638">
        <v>142.6377</v>
      </c>
      <c r="I17" s="495">
        <v>45400</v>
      </c>
      <c r="J17" s="443">
        <v>45428</v>
      </c>
      <c r="K17" s="456" t="s">
        <v>46</v>
      </c>
      <c r="L17" s="665">
        <v>45492</v>
      </c>
      <c r="M17" s="729">
        <v>7.1</v>
      </c>
      <c r="N17" s="702"/>
    </row>
    <row r="18" spans="1:14">
      <c r="A18" s="528">
        <v>12</v>
      </c>
      <c r="B18" s="658"/>
      <c r="C18" s="411" t="s">
        <v>75</v>
      </c>
      <c r="D18" s="411" t="s">
        <v>76</v>
      </c>
      <c r="E18" s="475" t="s">
        <v>77</v>
      </c>
      <c r="F18" s="411" t="s">
        <v>78</v>
      </c>
      <c r="G18" s="639">
        <v>42.551099999999998</v>
      </c>
      <c r="H18" s="639">
        <v>140.89859999999999</v>
      </c>
      <c r="I18" s="640">
        <v>45410</v>
      </c>
      <c r="J18" s="681">
        <v>45435</v>
      </c>
      <c r="K18" s="680" t="s">
        <v>235</v>
      </c>
      <c r="L18" s="668">
        <v>45501</v>
      </c>
      <c r="M18" s="730">
        <v>6.6</v>
      </c>
      <c r="N18" s="705"/>
    </row>
    <row r="19" spans="1:14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641">
        <v>43.216200000000001</v>
      </c>
      <c r="H19" s="641">
        <v>141.52809999999999</v>
      </c>
      <c r="I19" s="490">
        <v>45400</v>
      </c>
      <c r="J19" s="491">
        <v>45433</v>
      </c>
      <c r="K19" s="492" t="s">
        <v>213</v>
      </c>
      <c r="L19" s="651">
        <v>45494</v>
      </c>
      <c r="M19" s="737">
        <v>7.3</v>
      </c>
      <c r="N19" s="701" t="s">
        <v>236</v>
      </c>
    </row>
    <row r="20" spans="1:14">
      <c r="A20" s="617">
        <v>14</v>
      </c>
      <c r="B20" s="659" t="s">
        <v>85</v>
      </c>
      <c r="C20" s="474" t="s">
        <v>86</v>
      </c>
      <c r="D20" s="474" t="s">
        <v>87</v>
      </c>
      <c r="E20" s="474" t="s">
        <v>88</v>
      </c>
      <c r="F20" s="474" t="s">
        <v>89</v>
      </c>
      <c r="G20" s="632">
        <v>42.922699999999999</v>
      </c>
      <c r="H20" s="632">
        <v>141.61259999999999</v>
      </c>
      <c r="I20" s="495">
        <v>45400</v>
      </c>
      <c r="J20" s="496">
        <v>45434</v>
      </c>
      <c r="K20" s="497" t="s">
        <v>31</v>
      </c>
      <c r="L20" s="652">
        <v>45499</v>
      </c>
      <c r="M20" s="738">
        <v>7.1</v>
      </c>
      <c r="N20" s="702" t="s">
        <v>236</v>
      </c>
    </row>
    <row r="21" spans="1:14">
      <c r="A21" s="544">
        <v>15</v>
      </c>
      <c r="B21" s="545" t="s">
        <v>90</v>
      </c>
      <c r="C21" s="414" t="s">
        <v>91</v>
      </c>
      <c r="D21" s="414" t="s">
        <v>92</v>
      </c>
      <c r="E21" s="414" t="s">
        <v>93</v>
      </c>
      <c r="F21" s="414" t="s">
        <v>94</v>
      </c>
      <c r="G21" s="636">
        <v>43.145200000000003</v>
      </c>
      <c r="H21" s="636">
        <v>141.81379999999999</v>
      </c>
      <c r="I21" s="637">
        <v>45401</v>
      </c>
      <c r="J21" s="539">
        <v>45431</v>
      </c>
      <c r="K21" s="540" t="s">
        <v>31</v>
      </c>
      <c r="L21" s="651">
        <v>45498</v>
      </c>
      <c r="M21" s="739">
        <v>7.1</v>
      </c>
      <c r="N21" s="701"/>
    </row>
    <row r="22" spans="1:14">
      <c r="A22" s="617">
        <v>16</v>
      </c>
      <c r="B22" s="660"/>
      <c r="C22" s="474" t="s">
        <v>91</v>
      </c>
      <c r="D22" s="474" t="s">
        <v>95</v>
      </c>
      <c r="E22" s="474" t="s">
        <v>96</v>
      </c>
      <c r="F22" s="474" t="s">
        <v>97</v>
      </c>
      <c r="G22" s="638">
        <v>43.183500000000002</v>
      </c>
      <c r="H22" s="638">
        <v>141.7028</v>
      </c>
      <c r="I22" s="495">
        <v>45405</v>
      </c>
      <c r="J22" s="443">
        <v>45430</v>
      </c>
      <c r="K22" s="697" t="s">
        <v>31</v>
      </c>
      <c r="L22" s="652">
        <v>45496</v>
      </c>
      <c r="M22" s="740">
        <v>6.8</v>
      </c>
      <c r="N22" s="702"/>
    </row>
    <row r="23" spans="1:14">
      <c r="A23" s="617">
        <v>17</v>
      </c>
      <c r="B23" s="661" t="s">
        <v>98</v>
      </c>
      <c r="C23" s="474" t="s">
        <v>99</v>
      </c>
      <c r="D23" s="474" t="s">
        <v>100</v>
      </c>
      <c r="E23" s="474" t="s">
        <v>101</v>
      </c>
      <c r="F23" s="474" t="s">
        <v>102</v>
      </c>
      <c r="G23" s="638">
        <v>43.713799999999999</v>
      </c>
      <c r="H23" s="638">
        <v>141.89269999999999</v>
      </c>
      <c r="I23" s="495">
        <v>45406</v>
      </c>
      <c r="J23" s="444">
        <v>45432</v>
      </c>
      <c r="K23" s="445" t="s">
        <v>213</v>
      </c>
      <c r="L23" s="652">
        <v>45493</v>
      </c>
      <c r="M23" s="740">
        <v>7.3</v>
      </c>
      <c r="N23" s="733"/>
    </row>
    <row r="24" spans="1:14">
      <c r="A24" s="617">
        <v>18</v>
      </c>
      <c r="B24" s="661"/>
      <c r="C24" s="474" t="s">
        <v>99</v>
      </c>
      <c r="D24" s="474" t="s">
        <v>103</v>
      </c>
      <c r="E24" s="474" t="s">
        <v>104</v>
      </c>
      <c r="F24" s="474" t="s">
        <v>105</v>
      </c>
      <c r="G24" s="632">
        <v>43.720700000000001</v>
      </c>
      <c r="H24" s="632">
        <v>142.07060000000001</v>
      </c>
      <c r="I24" s="495">
        <v>45401</v>
      </c>
      <c r="J24" s="444">
        <v>45432</v>
      </c>
      <c r="K24" s="445" t="s">
        <v>213</v>
      </c>
      <c r="L24" s="652">
        <v>45491</v>
      </c>
      <c r="M24" s="740">
        <v>7</v>
      </c>
      <c r="N24" s="731" t="s">
        <v>237</v>
      </c>
    </row>
    <row r="25" spans="1:14">
      <c r="A25" s="617">
        <v>19</v>
      </c>
      <c r="B25" s="661"/>
      <c r="C25" s="474" t="s">
        <v>106</v>
      </c>
      <c r="D25" s="716" t="s">
        <v>107</v>
      </c>
      <c r="E25" s="716" t="s">
        <v>108</v>
      </c>
      <c r="F25" s="716" t="s">
        <v>109</v>
      </c>
      <c r="G25" s="717">
        <v>43.063000000000002</v>
      </c>
      <c r="H25" s="717">
        <v>141.81209999999999</v>
      </c>
      <c r="I25" s="718">
        <v>45397</v>
      </c>
      <c r="J25" s="719">
        <v>45434</v>
      </c>
      <c r="K25" s="720" t="s">
        <v>84</v>
      </c>
      <c r="L25" s="721">
        <v>45489</v>
      </c>
      <c r="M25" s="735">
        <v>6.9</v>
      </c>
      <c r="N25" s="732" t="s">
        <v>238</v>
      </c>
    </row>
    <row r="26" spans="1:14">
      <c r="A26" s="617">
        <v>20</v>
      </c>
      <c r="B26" s="661"/>
      <c r="C26" s="474" t="s">
        <v>110</v>
      </c>
      <c r="D26" s="474" t="s">
        <v>111</v>
      </c>
      <c r="E26" s="474" t="s">
        <v>216</v>
      </c>
      <c r="F26" s="474" t="s">
        <v>217</v>
      </c>
      <c r="G26" s="638">
        <v>43.593499999999999</v>
      </c>
      <c r="H26" s="638">
        <v>141.94370000000001</v>
      </c>
      <c r="I26" s="495">
        <v>45402</v>
      </c>
      <c r="J26" s="444">
        <v>45432</v>
      </c>
      <c r="K26" s="445" t="s">
        <v>84</v>
      </c>
      <c r="L26" s="654">
        <v>45496</v>
      </c>
      <c r="M26" s="729">
        <v>7.2</v>
      </c>
      <c r="N26" s="734"/>
    </row>
    <row r="27" spans="1:14">
      <c r="A27" s="617">
        <v>21</v>
      </c>
      <c r="B27" s="661"/>
      <c r="C27" s="474" t="s">
        <v>110</v>
      </c>
      <c r="D27" s="474" t="s">
        <v>115</v>
      </c>
      <c r="E27" s="474" t="s">
        <v>116</v>
      </c>
      <c r="F27" s="474" t="s">
        <v>115</v>
      </c>
      <c r="G27" s="638">
        <v>43.5169</v>
      </c>
      <c r="H27" s="638">
        <v>142.1951</v>
      </c>
      <c r="I27" s="495">
        <v>45408</v>
      </c>
      <c r="J27" s="444">
        <v>45441</v>
      </c>
      <c r="K27" s="694" t="s">
        <v>31</v>
      </c>
      <c r="L27" s="652">
        <v>45495</v>
      </c>
      <c r="M27" s="740">
        <v>7.1</v>
      </c>
      <c r="N27" s="731"/>
    </row>
    <row r="28" spans="1:14">
      <c r="A28" s="617" t="s">
        <v>117</v>
      </c>
      <c r="B28" s="661"/>
      <c r="C28" s="474" t="s">
        <v>118</v>
      </c>
      <c r="D28" s="474" t="s">
        <v>119</v>
      </c>
      <c r="E28" s="474" t="s">
        <v>120</v>
      </c>
      <c r="F28" s="474" t="s">
        <v>121</v>
      </c>
      <c r="G28" s="638">
        <v>43.031399999999998</v>
      </c>
      <c r="H28" s="638">
        <v>141.69059999999999</v>
      </c>
      <c r="I28" s="495">
        <v>45396</v>
      </c>
      <c r="J28" s="444">
        <v>45429</v>
      </c>
      <c r="K28" s="445" t="s">
        <v>84</v>
      </c>
      <c r="L28" s="652">
        <v>45497</v>
      </c>
      <c r="M28" s="729">
        <v>7.3</v>
      </c>
      <c r="N28" s="702"/>
    </row>
    <row r="29" spans="1:14">
      <c r="A29" s="617">
        <v>23</v>
      </c>
      <c r="B29" s="661"/>
      <c r="C29" s="474" t="s">
        <v>122</v>
      </c>
      <c r="D29" s="474" t="s">
        <v>123</v>
      </c>
      <c r="E29" s="474" t="s">
        <v>124</v>
      </c>
      <c r="F29" s="474" t="s">
        <v>125</v>
      </c>
      <c r="G29" s="638">
        <v>43.525300000000001</v>
      </c>
      <c r="H29" s="638">
        <v>141.83099999999999</v>
      </c>
      <c r="I29" s="495">
        <v>45402</v>
      </c>
      <c r="J29" s="444">
        <v>45432</v>
      </c>
      <c r="K29" s="682" t="s">
        <v>84</v>
      </c>
      <c r="L29" s="652">
        <v>45509</v>
      </c>
      <c r="M29" s="729">
        <v>7.1</v>
      </c>
      <c r="N29" s="702"/>
    </row>
    <row r="30" spans="1:14">
      <c r="A30" s="617">
        <v>24</v>
      </c>
      <c r="B30" s="661"/>
      <c r="C30" s="474" t="s">
        <v>127</v>
      </c>
      <c r="D30" s="474" t="s">
        <v>128</v>
      </c>
      <c r="E30" s="474" t="s">
        <v>129</v>
      </c>
      <c r="F30" s="474" t="s">
        <v>239</v>
      </c>
      <c r="G30" s="638">
        <v>43.453600000000002</v>
      </c>
      <c r="H30" s="638">
        <v>141.9109</v>
      </c>
      <c r="I30" s="495">
        <v>45408</v>
      </c>
      <c r="J30" s="444">
        <v>45444</v>
      </c>
      <c r="K30" s="445" t="s">
        <v>84</v>
      </c>
      <c r="L30" s="652">
        <v>45497</v>
      </c>
      <c r="M30" s="729">
        <v>7.3</v>
      </c>
      <c r="N30" s="702"/>
    </row>
    <row r="31" spans="1:14">
      <c r="A31" s="617">
        <v>25</v>
      </c>
      <c r="B31" s="661"/>
      <c r="C31" s="474" t="s">
        <v>131</v>
      </c>
      <c r="D31" s="474" t="s">
        <v>132</v>
      </c>
      <c r="E31" s="474" t="s">
        <v>218</v>
      </c>
      <c r="F31" s="474" t="s">
        <v>134</v>
      </c>
      <c r="G31" s="638">
        <v>43.0809</v>
      </c>
      <c r="H31" s="638">
        <v>141.7029</v>
      </c>
      <c r="I31" s="495">
        <v>45399</v>
      </c>
      <c r="J31" s="444">
        <v>45429</v>
      </c>
      <c r="K31" s="445" t="s">
        <v>31</v>
      </c>
      <c r="L31" s="652">
        <v>45497</v>
      </c>
      <c r="M31" s="740">
        <v>7.4</v>
      </c>
      <c r="N31" s="731"/>
    </row>
    <row r="32" spans="1:14">
      <c r="A32" s="617">
        <v>26</v>
      </c>
      <c r="B32" s="661"/>
      <c r="C32" s="474" t="s">
        <v>136</v>
      </c>
      <c r="D32" s="474" t="s">
        <v>137</v>
      </c>
      <c r="E32" s="474" t="s">
        <v>138</v>
      </c>
      <c r="F32" s="474" t="s">
        <v>139</v>
      </c>
      <c r="G32" s="695">
        <v>43.358600000000003</v>
      </c>
      <c r="H32" s="695">
        <v>141.8571</v>
      </c>
      <c r="I32" s="495">
        <v>45399</v>
      </c>
      <c r="J32" s="444">
        <v>45431</v>
      </c>
      <c r="K32" s="445" t="s">
        <v>84</v>
      </c>
      <c r="L32" s="652">
        <v>45489</v>
      </c>
      <c r="M32" s="729">
        <v>6.6</v>
      </c>
      <c r="N32" s="711" t="s">
        <v>240</v>
      </c>
    </row>
    <row r="33" spans="1:14">
      <c r="A33" s="617">
        <v>27</v>
      </c>
      <c r="B33" s="661"/>
      <c r="C33" s="474" t="s">
        <v>141</v>
      </c>
      <c r="D33" s="474" t="s">
        <v>142</v>
      </c>
      <c r="E33" s="474" t="s">
        <v>219</v>
      </c>
      <c r="F33" s="474" t="s">
        <v>144</v>
      </c>
      <c r="G33" s="638">
        <v>43.756300000000003</v>
      </c>
      <c r="H33" s="638">
        <v>141.90119999999999</v>
      </c>
      <c r="I33" s="495">
        <v>45402</v>
      </c>
      <c r="J33" s="444">
        <v>45437</v>
      </c>
      <c r="K33" s="445" t="s">
        <v>84</v>
      </c>
      <c r="L33" s="652">
        <v>45496</v>
      </c>
      <c r="M33" s="729">
        <v>7.7</v>
      </c>
      <c r="N33" s="702"/>
    </row>
    <row r="34" spans="1:14">
      <c r="A34" s="662">
        <v>28</v>
      </c>
      <c r="B34" s="663"/>
      <c r="C34" s="475" t="s">
        <v>141</v>
      </c>
      <c r="D34" s="475" t="s">
        <v>146</v>
      </c>
      <c r="E34" s="475" t="s">
        <v>147</v>
      </c>
      <c r="F34" s="475" t="s">
        <v>148</v>
      </c>
      <c r="G34" s="639">
        <v>43.696800000000003</v>
      </c>
      <c r="H34" s="639">
        <v>141.9341</v>
      </c>
      <c r="I34" s="640">
        <v>45399</v>
      </c>
      <c r="J34" s="681">
        <v>45432</v>
      </c>
      <c r="K34" s="683" t="s">
        <v>84</v>
      </c>
      <c r="L34" s="655">
        <v>45494</v>
      </c>
      <c r="M34" s="730">
        <v>7.7</v>
      </c>
      <c r="N34" s="704"/>
    </row>
    <row r="35" spans="1:14">
      <c r="A35" s="544">
        <v>29</v>
      </c>
      <c r="B35" s="545" t="s">
        <v>149</v>
      </c>
      <c r="C35" s="414" t="s">
        <v>150</v>
      </c>
      <c r="D35" s="414" t="s">
        <v>151</v>
      </c>
      <c r="E35" s="414" t="s">
        <v>152</v>
      </c>
      <c r="F35" s="414" t="s">
        <v>153</v>
      </c>
      <c r="G35" s="713">
        <v>44.368572</v>
      </c>
      <c r="H35" s="713">
        <v>141.71839299999999</v>
      </c>
      <c r="I35" s="642">
        <v>45398</v>
      </c>
      <c r="J35" s="684">
        <v>45432</v>
      </c>
      <c r="K35" s="688" t="s">
        <v>220</v>
      </c>
      <c r="L35" s="651">
        <v>45498</v>
      </c>
      <c r="M35" s="739">
        <v>7.6</v>
      </c>
      <c r="N35" s="690" t="s">
        <v>240</v>
      </c>
    </row>
    <row r="36" spans="1:14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474" t="s">
        <v>157</v>
      </c>
      <c r="G36" s="643">
        <v>44.000500000000002</v>
      </c>
      <c r="H36" s="643">
        <v>141.7578</v>
      </c>
      <c r="I36" s="635">
        <v>45397</v>
      </c>
      <c r="J36" s="685">
        <v>45431</v>
      </c>
      <c r="K36" s="686" t="s">
        <v>220</v>
      </c>
      <c r="L36" s="653">
        <v>45495</v>
      </c>
      <c r="M36" s="741">
        <v>7.1</v>
      </c>
      <c r="N36" s="703"/>
    </row>
    <row r="37" spans="1:14">
      <c r="A37" s="498">
        <v>31</v>
      </c>
      <c r="B37" s="545" t="s">
        <v>158</v>
      </c>
      <c r="C37" s="714" t="s">
        <v>159</v>
      </c>
      <c r="D37" s="470" t="s">
        <v>160</v>
      </c>
      <c r="E37" s="470" t="s">
        <v>161</v>
      </c>
      <c r="F37" s="709" t="s">
        <v>162</v>
      </c>
      <c r="G37" s="636">
        <v>43.803699999999999</v>
      </c>
      <c r="H37" s="636">
        <v>142.45150000000001</v>
      </c>
      <c r="I37" s="710">
        <v>45395</v>
      </c>
      <c r="J37" s="451">
        <v>45424</v>
      </c>
      <c r="K37" s="452" t="s">
        <v>154</v>
      </c>
      <c r="L37" s="669">
        <v>45495</v>
      </c>
      <c r="M37" s="739">
        <v>6.7</v>
      </c>
      <c r="N37" s="706"/>
    </row>
    <row r="38" spans="1:14">
      <c r="A38" s="617">
        <v>32</v>
      </c>
      <c r="B38" s="659"/>
      <c r="C38" s="412" t="s">
        <v>164</v>
      </c>
      <c r="D38" s="474" t="s">
        <v>165</v>
      </c>
      <c r="E38" s="474" t="s">
        <v>166</v>
      </c>
      <c r="F38" s="474" t="s">
        <v>167</v>
      </c>
      <c r="G38" s="644">
        <v>43.831299999999999</v>
      </c>
      <c r="H38" s="644">
        <v>142.39680000000001</v>
      </c>
      <c r="I38" s="645">
        <v>45400</v>
      </c>
      <c r="J38" s="687">
        <v>45428</v>
      </c>
      <c r="K38" s="688" t="s">
        <v>221</v>
      </c>
      <c r="L38" s="665">
        <v>45493</v>
      </c>
      <c r="M38" s="729">
        <v>7.8</v>
      </c>
      <c r="N38" s="702"/>
    </row>
    <row r="39" spans="1:14">
      <c r="A39" s="617">
        <v>33</v>
      </c>
      <c r="B39" s="659" t="s">
        <v>168</v>
      </c>
      <c r="C39" s="412" t="s">
        <v>169</v>
      </c>
      <c r="D39" s="474" t="s">
        <v>170</v>
      </c>
      <c r="E39" s="474" t="s">
        <v>171</v>
      </c>
      <c r="F39" s="474" t="s">
        <v>172</v>
      </c>
      <c r="G39" s="638">
        <v>43.392699999999998</v>
      </c>
      <c r="H39" s="638">
        <v>142.39779999999999</v>
      </c>
      <c r="I39" s="646">
        <v>45401</v>
      </c>
      <c r="J39" s="455">
        <v>45429</v>
      </c>
      <c r="K39" s="688" t="s">
        <v>220</v>
      </c>
      <c r="L39" s="665">
        <v>45495</v>
      </c>
      <c r="M39" s="729">
        <v>7.2</v>
      </c>
      <c r="N39" s="702"/>
    </row>
    <row r="40" spans="1:14">
      <c r="A40" s="617">
        <v>34</v>
      </c>
      <c r="B40" s="659"/>
      <c r="C40" s="412" t="s">
        <v>169</v>
      </c>
      <c r="D40" s="474" t="s">
        <v>173</v>
      </c>
      <c r="E40" s="474" t="s">
        <v>174</v>
      </c>
      <c r="F40" s="474" t="s">
        <v>175</v>
      </c>
      <c r="G40" s="638">
        <v>43.430799999999998</v>
      </c>
      <c r="H40" s="638">
        <v>142.43090000000001</v>
      </c>
      <c r="I40" s="646">
        <v>45403</v>
      </c>
      <c r="J40" s="455">
        <v>45440</v>
      </c>
      <c r="K40" s="688" t="s">
        <v>220</v>
      </c>
      <c r="L40" s="665">
        <v>45495</v>
      </c>
      <c r="M40" s="729">
        <v>7.1</v>
      </c>
      <c r="N40" s="702"/>
    </row>
    <row r="41" spans="1:14">
      <c r="A41" s="617">
        <v>35</v>
      </c>
      <c r="B41" s="664"/>
      <c r="C41" s="412" t="s">
        <v>176</v>
      </c>
      <c r="D41" s="474" t="s">
        <v>177</v>
      </c>
      <c r="E41" s="474" t="s">
        <v>178</v>
      </c>
      <c r="F41" s="474" t="s">
        <v>179</v>
      </c>
      <c r="G41" s="638">
        <v>43.703099999999999</v>
      </c>
      <c r="H41" s="638">
        <v>142.44220000000001</v>
      </c>
      <c r="I41" s="646">
        <v>45395</v>
      </c>
      <c r="J41" s="455">
        <v>45427</v>
      </c>
      <c r="K41" s="456" t="s">
        <v>220</v>
      </c>
      <c r="L41" s="665">
        <v>45492</v>
      </c>
      <c r="M41" s="729">
        <v>7.2</v>
      </c>
      <c r="N41" s="702"/>
    </row>
    <row r="42" spans="1:14">
      <c r="A42" s="617">
        <v>36</v>
      </c>
      <c r="B42" s="659"/>
      <c r="C42" s="412" t="s">
        <v>180</v>
      </c>
      <c r="D42" s="474" t="s">
        <v>181</v>
      </c>
      <c r="E42" s="474" t="s">
        <v>182</v>
      </c>
      <c r="F42" s="474" t="s">
        <v>183</v>
      </c>
      <c r="G42" s="638">
        <v>43.6995</v>
      </c>
      <c r="H42" s="638">
        <v>142.5335</v>
      </c>
      <c r="I42" s="646">
        <v>45402</v>
      </c>
      <c r="J42" s="455">
        <v>45433</v>
      </c>
      <c r="K42" s="456" t="s">
        <v>222</v>
      </c>
      <c r="L42" s="665">
        <v>45499</v>
      </c>
      <c r="M42" s="729">
        <v>6.7</v>
      </c>
      <c r="N42" s="702"/>
    </row>
    <row r="43" spans="1:14">
      <c r="A43" s="617">
        <v>37</v>
      </c>
      <c r="B43" s="659"/>
      <c r="C43" s="412" t="s">
        <v>185</v>
      </c>
      <c r="D43" s="474" t="s">
        <v>186</v>
      </c>
      <c r="E43" s="474" t="s">
        <v>187</v>
      </c>
      <c r="F43" s="474" t="s">
        <v>188</v>
      </c>
      <c r="G43" s="638">
        <v>43.851399999999998</v>
      </c>
      <c r="H43" s="638">
        <v>142.52959999999999</v>
      </c>
      <c r="I43" s="646">
        <v>45397</v>
      </c>
      <c r="J43" s="455">
        <v>45427</v>
      </c>
      <c r="K43" s="456" t="s">
        <v>224</v>
      </c>
      <c r="L43" s="665">
        <v>45496</v>
      </c>
      <c r="M43" s="729">
        <v>6.8</v>
      </c>
      <c r="N43" s="736"/>
    </row>
    <row r="44" spans="1:14">
      <c r="A44" s="617">
        <v>38</v>
      </c>
      <c r="B44" s="659"/>
      <c r="C44" s="412" t="s">
        <v>189</v>
      </c>
      <c r="D44" s="474" t="s">
        <v>190</v>
      </c>
      <c r="E44" s="474" t="s">
        <v>191</v>
      </c>
      <c r="F44" s="474" t="s">
        <v>192</v>
      </c>
      <c r="G44" s="638">
        <v>43.865600000000001</v>
      </c>
      <c r="H44" s="638">
        <v>142.4709</v>
      </c>
      <c r="I44" s="646">
        <v>45397</v>
      </c>
      <c r="J44" s="455">
        <v>45426</v>
      </c>
      <c r="K44" s="456" t="s">
        <v>224</v>
      </c>
      <c r="L44" s="656">
        <v>45495</v>
      </c>
      <c r="M44" s="729">
        <v>7.2</v>
      </c>
      <c r="N44" s="707"/>
    </row>
    <row r="45" spans="1:14">
      <c r="A45" s="617">
        <v>39</v>
      </c>
      <c r="B45" s="659"/>
      <c r="C45" s="412" t="s">
        <v>193</v>
      </c>
      <c r="D45" s="474" t="s">
        <v>194</v>
      </c>
      <c r="E45" s="474" t="s">
        <v>195</v>
      </c>
      <c r="F45" s="474" t="s">
        <v>196</v>
      </c>
      <c r="G45" s="638">
        <v>43.589799999999997</v>
      </c>
      <c r="H45" s="638">
        <v>142.4836</v>
      </c>
      <c r="I45" s="646">
        <v>45402</v>
      </c>
      <c r="J45" s="455">
        <v>45437</v>
      </c>
      <c r="K45" s="456" t="s">
        <v>51</v>
      </c>
      <c r="L45" s="656">
        <v>45495</v>
      </c>
      <c r="M45" s="740">
        <v>7.9</v>
      </c>
      <c r="N45" s="707" t="s">
        <v>241</v>
      </c>
    </row>
    <row r="46" spans="1:14">
      <c r="A46" s="543">
        <v>40</v>
      </c>
      <c r="B46" s="658"/>
      <c r="C46" s="397" t="s">
        <v>197</v>
      </c>
      <c r="D46" s="397" t="s">
        <v>198</v>
      </c>
      <c r="E46" s="397" t="s">
        <v>199</v>
      </c>
      <c r="F46" s="397" t="s">
        <v>200</v>
      </c>
      <c r="G46" s="647">
        <v>43.999699999999997</v>
      </c>
      <c r="H46" s="647">
        <v>142.42500000000001</v>
      </c>
      <c r="I46" s="648">
        <v>45399</v>
      </c>
      <c r="J46" s="689">
        <v>45430</v>
      </c>
      <c r="K46" s="686" t="s">
        <v>224</v>
      </c>
      <c r="L46" s="657">
        <v>45493</v>
      </c>
      <c r="M46" s="730">
        <v>7.7</v>
      </c>
      <c r="N46" s="708"/>
    </row>
    <row r="47" spans="1:14">
      <c r="A47" s="524" t="s">
        <v>242</v>
      </c>
      <c r="B47" s="533"/>
      <c r="L47" s="12"/>
    </row>
  </sheetData>
  <mergeCells count="18">
    <mergeCell ref="N5:N6"/>
    <mergeCell ref="E4:E6"/>
    <mergeCell ref="F4:F6"/>
    <mergeCell ref="I5:I6"/>
    <mergeCell ref="J5:J6"/>
    <mergeCell ref="K5:K6"/>
    <mergeCell ref="L5:L6"/>
    <mergeCell ref="G2:K2"/>
    <mergeCell ref="L2:M2"/>
    <mergeCell ref="A3:F3"/>
    <mergeCell ref="G3:G6"/>
    <mergeCell ref="H3:H6"/>
    <mergeCell ref="M3:M4"/>
    <mergeCell ref="A4:A6"/>
    <mergeCell ref="B4:B6"/>
    <mergeCell ref="C4:C6"/>
    <mergeCell ref="D4:D6"/>
    <mergeCell ref="M5:M6"/>
  </mergeCells>
  <phoneticPr fontId="1"/>
  <pageMargins left="0.70866141732283472" right="0.70866141732283472" top="0.74803149606299213" bottom="0.74803149606299213" header="0.31496062992125984" footer="0.31496062992125984"/>
  <pageSetup paperSize="9" scale="70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EA66-A273-4158-824F-6CE14E354370}">
  <sheetPr>
    <pageSetUpPr fitToPage="1"/>
  </sheetPr>
  <dimension ref="A1:M47"/>
  <sheetViews>
    <sheetView topLeftCell="A26" zoomScale="85" zoomScaleNormal="85" workbookViewId="0">
      <selection activeCell="A39" sqref="A39:XFD40"/>
    </sheetView>
  </sheetViews>
  <sheetFormatPr baseColWidth="10" defaultColWidth="9" defaultRowHeight="14"/>
  <cols>
    <col min="1" max="1" width="4.5" style="523" customWidth="1"/>
    <col min="2" max="2" width="9" style="523"/>
    <col min="3" max="4" width="13.5" style="523" customWidth="1"/>
    <col min="5" max="5" width="17.5" style="523" customWidth="1"/>
    <col min="6" max="6" width="24.5" style="523" customWidth="1"/>
    <col min="7" max="7" width="9.5" style="523" bestFit="1" customWidth="1"/>
    <col min="8" max="8" width="10.5" style="523" bestFit="1" customWidth="1"/>
    <col min="9" max="9" width="11.5" style="6" customWidth="1"/>
    <col min="10" max="10" width="12.5" style="1" bestFit="1" customWidth="1"/>
    <col min="11" max="11" width="13.5" style="1" bestFit="1" customWidth="1"/>
    <col min="12" max="12" width="9.5" style="1" customWidth="1"/>
    <col min="13" max="16384" width="9" style="523"/>
  </cols>
  <sheetData>
    <row r="1" spans="1:12" ht="22">
      <c r="A1" s="517" t="s">
        <v>243</v>
      </c>
    </row>
    <row r="2" spans="1:12" ht="22">
      <c r="A2" s="517" t="s">
        <v>244</v>
      </c>
      <c r="K2" s="838">
        <f ca="1">NOW()</f>
        <v>46244.880165856484</v>
      </c>
      <c r="L2" s="838"/>
    </row>
    <row r="3" spans="1:12">
      <c r="A3" s="805" t="s">
        <v>245</v>
      </c>
      <c r="B3" s="805"/>
      <c r="C3" s="805"/>
      <c r="D3" s="805"/>
      <c r="E3" s="805"/>
      <c r="F3" s="805"/>
      <c r="G3" s="839" t="s">
        <v>8</v>
      </c>
      <c r="H3" s="839" t="s">
        <v>9</v>
      </c>
      <c r="I3" s="426" t="s">
        <v>10</v>
      </c>
      <c r="J3" s="290" t="s">
        <v>11</v>
      </c>
      <c r="K3" s="290" t="s">
        <v>12</v>
      </c>
      <c r="L3" s="420" t="s">
        <v>13</v>
      </c>
    </row>
    <row r="4" spans="1:12" ht="13.5" customHeight="1">
      <c r="A4" s="816" t="s">
        <v>16</v>
      </c>
      <c r="B4" s="828" t="s">
        <v>17</v>
      </c>
      <c r="C4" s="816" t="s">
        <v>18</v>
      </c>
      <c r="D4" s="816" t="s">
        <v>19</v>
      </c>
      <c r="E4" s="813" t="s">
        <v>20</v>
      </c>
      <c r="F4" s="816" t="s">
        <v>21</v>
      </c>
      <c r="G4" s="840"/>
      <c r="H4" s="840"/>
      <c r="I4" s="427"/>
      <c r="J4" s="291"/>
      <c r="K4" s="291" t="s">
        <v>22</v>
      </c>
      <c r="L4" s="420"/>
    </row>
    <row r="5" spans="1:12" ht="13.5" customHeight="1">
      <c r="A5" s="816"/>
      <c r="B5" s="828"/>
      <c r="C5" s="816"/>
      <c r="D5" s="816"/>
      <c r="E5" s="814"/>
      <c r="F5" s="816"/>
      <c r="G5" s="840"/>
      <c r="H5" s="840"/>
      <c r="I5" s="842" t="s">
        <v>23</v>
      </c>
      <c r="J5" s="844" t="s">
        <v>23</v>
      </c>
      <c r="K5" s="846" t="s">
        <v>24</v>
      </c>
      <c r="L5" s="848" t="s">
        <v>23</v>
      </c>
    </row>
    <row r="6" spans="1:12">
      <c r="A6" s="816"/>
      <c r="B6" s="828"/>
      <c r="C6" s="816"/>
      <c r="D6" s="816"/>
      <c r="E6" s="815"/>
      <c r="F6" s="816"/>
      <c r="G6" s="841"/>
      <c r="H6" s="841"/>
      <c r="I6" s="843"/>
      <c r="J6" s="845"/>
      <c r="K6" s="847"/>
      <c r="L6" s="849"/>
    </row>
    <row r="7" spans="1:12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02" t="s">
        <v>30</v>
      </c>
      <c r="G7" s="587">
        <v>42.445399999999999</v>
      </c>
      <c r="H7" s="588">
        <v>139.9716</v>
      </c>
      <c r="I7" s="606">
        <v>45040</v>
      </c>
      <c r="J7" s="103">
        <v>45073</v>
      </c>
      <c r="K7" s="434" t="s">
        <v>246</v>
      </c>
      <c r="L7" s="549">
        <v>45132</v>
      </c>
    </row>
    <row r="8" spans="1:12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589">
        <v>42.429499999999997</v>
      </c>
      <c r="H8" s="589">
        <v>139.8922</v>
      </c>
      <c r="I8" s="607">
        <v>45041</v>
      </c>
      <c r="J8" s="110">
        <v>45071</v>
      </c>
      <c r="K8" s="435" t="s">
        <v>246</v>
      </c>
      <c r="L8" s="555">
        <v>45129</v>
      </c>
    </row>
    <row r="9" spans="1:12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90">
        <v>42.038800000000002</v>
      </c>
      <c r="H9" s="590">
        <v>140.61940000000001</v>
      </c>
      <c r="I9" s="535">
        <v>45043</v>
      </c>
      <c r="J9" s="118">
        <v>45069</v>
      </c>
      <c r="K9" s="436" t="s">
        <v>184</v>
      </c>
      <c r="L9" s="578">
        <v>45135</v>
      </c>
    </row>
    <row r="10" spans="1:12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591">
        <v>42.993899999999996</v>
      </c>
      <c r="H10" s="591">
        <v>140.5916</v>
      </c>
      <c r="I10" s="208">
        <v>45038</v>
      </c>
      <c r="J10" s="156">
        <v>45067</v>
      </c>
      <c r="K10" s="145" t="s">
        <v>248</v>
      </c>
      <c r="L10" s="555">
        <v>45129</v>
      </c>
    </row>
    <row r="11" spans="1:12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592">
        <v>42.805900000000001</v>
      </c>
      <c r="H11" s="592">
        <v>140.53540000000001</v>
      </c>
      <c r="I11" s="182">
        <v>45035</v>
      </c>
      <c r="J11" s="163">
        <v>45064</v>
      </c>
      <c r="K11" s="144" t="s">
        <v>249</v>
      </c>
      <c r="L11" s="555">
        <v>45127</v>
      </c>
    </row>
    <row r="12" spans="1:12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593">
        <v>42.765099999999997</v>
      </c>
      <c r="H12" s="593">
        <v>140.6807</v>
      </c>
      <c r="I12" s="184">
        <v>45034</v>
      </c>
      <c r="J12" s="170">
        <v>45065</v>
      </c>
      <c r="K12" s="146" t="s">
        <v>249</v>
      </c>
      <c r="L12" s="578">
        <v>45127</v>
      </c>
    </row>
    <row r="13" spans="1:12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594">
        <v>42.714500000000001</v>
      </c>
      <c r="H13" s="594">
        <v>141.91540000000001</v>
      </c>
      <c r="I13" s="88">
        <v>45033</v>
      </c>
      <c r="J13" s="80">
        <v>44698</v>
      </c>
      <c r="K13" s="145" t="s">
        <v>250</v>
      </c>
      <c r="L13" s="549">
        <v>45129</v>
      </c>
    </row>
    <row r="14" spans="1:12">
      <c r="A14" s="508">
        <v>8</v>
      </c>
      <c r="B14" s="10" t="s">
        <v>60</v>
      </c>
      <c r="C14" s="503" t="s">
        <v>56</v>
      </c>
      <c r="D14" s="412" t="s">
        <v>57</v>
      </c>
      <c r="E14" s="506" t="s">
        <v>61</v>
      </c>
      <c r="F14" s="503" t="s">
        <v>59</v>
      </c>
      <c r="G14" s="595">
        <v>42.654933999999997</v>
      </c>
      <c r="H14" s="595">
        <v>141.905777</v>
      </c>
      <c r="I14" s="418">
        <v>45039</v>
      </c>
      <c r="J14" s="72">
        <v>45069</v>
      </c>
      <c r="K14" s="273" t="s">
        <v>251</v>
      </c>
      <c r="L14" s="690">
        <v>45135</v>
      </c>
    </row>
    <row r="15" spans="1:12">
      <c r="A15" s="508">
        <v>9</v>
      </c>
      <c r="B15" s="10"/>
      <c r="C15" s="503" t="s">
        <v>62</v>
      </c>
      <c r="D15" s="503" t="s">
        <v>63</v>
      </c>
      <c r="E15" s="412" t="s">
        <v>64</v>
      </c>
      <c r="F15" s="503" t="s">
        <v>65</v>
      </c>
      <c r="G15" s="595">
        <v>42.517400000000002</v>
      </c>
      <c r="H15" s="595">
        <v>142.3749</v>
      </c>
      <c r="I15" s="418">
        <v>45032</v>
      </c>
      <c r="J15" s="72">
        <v>44701</v>
      </c>
      <c r="K15" s="144" t="s">
        <v>252</v>
      </c>
      <c r="L15" s="555">
        <v>45134</v>
      </c>
    </row>
    <row r="16" spans="1:12">
      <c r="A16" s="508">
        <v>10</v>
      </c>
      <c r="B16" s="10"/>
      <c r="C16" s="503" t="s">
        <v>67</v>
      </c>
      <c r="D16" s="503" t="s">
        <v>68</v>
      </c>
      <c r="E16" s="575" t="s">
        <v>69</v>
      </c>
      <c r="F16" s="503" t="s">
        <v>70</v>
      </c>
      <c r="G16" s="595">
        <v>42.432200000000002</v>
      </c>
      <c r="H16" s="595">
        <v>142.26070000000001</v>
      </c>
      <c r="I16" s="418">
        <v>45032</v>
      </c>
      <c r="J16" s="72">
        <v>45069</v>
      </c>
      <c r="K16" s="144" t="s">
        <v>253</v>
      </c>
      <c r="L16" s="555">
        <v>45128</v>
      </c>
    </row>
    <row r="17" spans="1:13">
      <c r="A17" s="508">
        <v>11</v>
      </c>
      <c r="B17" s="10"/>
      <c r="C17" s="503" t="s">
        <v>71</v>
      </c>
      <c r="D17" s="503" t="s">
        <v>72</v>
      </c>
      <c r="E17" s="575" t="s">
        <v>73</v>
      </c>
      <c r="F17" s="503" t="s">
        <v>74</v>
      </c>
      <c r="G17" s="595">
        <v>42.261600000000001</v>
      </c>
      <c r="H17" s="595">
        <v>142.6377</v>
      </c>
      <c r="I17" s="418">
        <v>45035</v>
      </c>
      <c r="J17" s="110">
        <v>45065</v>
      </c>
      <c r="K17" s="20" t="s">
        <v>235</v>
      </c>
      <c r="L17" s="555">
        <v>45130</v>
      </c>
    </row>
    <row r="18" spans="1:13">
      <c r="A18" s="5">
        <v>12</v>
      </c>
      <c r="B18" s="516"/>
      <c r="C18" s="504" t="s">
        <v>75</v>
      </c>
      <c r="D18" s="504" t="s">
        <v>76</v>
      </c>
      <c r="E18" s="569" t="s">
        <v>77</v>
      </c>
      <c r="F18" s="504" t="s">
        <v>78</v>
      </c>
      <c r="G18" s="596">
        <v>42.551099999999998</v>
      </c>
      <c r="H18" s="596">
        <v>140.89859999999999</v>
      </c>
      <c r="I18" s="608">
        <v>45044</v>
      </c>
      <c r="J18" s="76">
        <v>44703</v>
      </c>
      <c r="K18" s="146" t="s">
        <v>184</v>
      </c>
      <c r="L18" s="572">
        <v>45134</v>
      </c>
    </row>
    <row r="19" spans="1:13">
      <c r="A19" s="544">
        <v>13</v>
      </c>
      <c r="B19" s="545" t="s">
        <v>79</v>
      </c>
      <c r="C19" s="414" t="s">
        <v>80</v>
      </c>
      <c r="D19" s="414" t="s">
        <v>81</v>
      </c>
      <c r="E19" s="414" t="s">
        <v>82</v>
      </c>
      <c r="F19" s="414" t="s">
        <v>83</v>
      </c>
      <c r="G19" s="597">
        <v>43.216200000000001</v>
      </c>
      <c r="H19" s="597">
        <v>141.52809999999999</v>
      </c>
      <c r="I19" s="546">
        <v>45035</v>
      </c>
      <c r="J19" s="547">
        <v>45067</v>
      </c>
      <c r="K19" s="548" t="s">
        <v>220</v>
      </c>
      <c r="L19" s="549">
        <v>45127</v>
      </c>
    </row>
    <row r="20" spans="1:13">
      <c r="A20" s="617">
        <v>14</v>
      </c>
      <c r="B20" s="551" t="s">
        <v>85</v>
      </c>
      <c r="C20" s="474" t="s">
        <v>86</v>
      </c>
      <c r="D20" s="474" t="s">
        <v>87</v>
      </c>
      <c r="E20" s="575" t="s">
        <v>88</v>
      </c>
      <c r="F20" s="474" t="s">
        <v>89</v>
      </c>
      <c r="G20" s="598">
        <v>42.922699999999999</v>
      </c>
      <c r="H20" s="598">
        <v>141.61259999999999</v>
      </c>
      <c r="I20" s="552">
        <v>45034</v>
      </c>
      <c r="J20" s="553">
        <v>45071</v>
      </c>
      <c r="K20" s="554" t="s">
        <v>254</v>
      </c>
      <c r="L20" s="555">
        <v>45133</v>
      </c>
    </row>
    <row r="21" spans="1:13">
      <c r="A21" s="556">
        <v>15</v>
      </c>
      <c r="B21" s="557" t="s">
        <v>90</v>
      </c>
      <c r="C21" s="558" t="s">
        <v>91</v>
      </c>
      <c r="D21" s="558" t="s">
        <v>92</v>
      </c>
      <c r="E21" s="558" t="s">
        <v>93</v>
      </c>
      <c r="F21" s="558" t="s">
        <v>94</v>
      </c>
      <c r="G21" s="600">
        <v>43.145200000000003</v>
      </c>
      <c r="H21" s="600">
        <v>141.81379999999999</v>
      </c>
      <c r="I21" s="609">
        <v>45035</v>
      </c>
      <c r="J21" s="559">
        <v>45066</v>
      </c>
      <c r="K21" s="560" t="s">
        <v>254</v>
      </c>
      <c r="L21" s="549">
        <v>45131</v>
      </c>
    </row>
    <row r="22" spans="1:13">
      <c r="A22" s="550">
        <v>16</v>
      </c>
      <c r="B22" s="561"/>
      <c r="C22" s="563" t="s">
        <v>91</v>
      </c>
      <c r="D22" s="563" t="s">
        <v>95</v>
      </c>
      <c r="E22" s="575" t="s">
        <v>96</v>
      </c>
      <c r="F22" s="563" t="s">
        <v>97</v>
      </c>
      <c r="G22" s="599">
        <v>43.183500000000002</v>
      </c>
      <c r="H22" s="599">
        <v>141.7028</v>
      </c>
      <c r="I22" s="552">
        <v>45035</v>
      </c>
      <c r="J22" s="422">
        <v>45062</v>
      </c>
      <c r="K22" s="616" t="s">
        <v>254</v>
      </c>
      <c r="L22" s="555">
        <v>45126</v>
      </c>
    </row>
    <row r="23" spans="1:13">
      <c r="A23" s="550">
        <v>17</v>
      </c>
      <c r="B23" s="562" t="s">
        <v>98</v>
      </c>
      <c r="C23" s="563" t="s">
        <v>99</v>
      </c>
      <c r="D23" s="563" t="s">
        <v>100</v>
      </c>
      <c r="E23" s="563" t="s">
        <v>101</v>
      </c>
      <c r="F23" s="563" t="s">
        <v>102</v>
      </c>
      <c r="G23" s="599">
        <v>43.713799999999999</v>
      </c>
      <c r="H23" s="599">
        <v>141.89269999999999</v>
      </c>
      <c r="I23" s="552">
        <v>45035</v>
      </c>
      <c r="J23" s="564">
        <v>44703</v>
      </c>
      <c r="K23" s="565" t="s">
        <v>220</v>
      </c>
      <c r="L23" s="555">
        <v>45127</v>
      </c>
    </row>
    <row r="24" spans="1:13">
      <c r="A24" s="550">
        <v>18</v>
      </c>
      <c r="B24" s="562"/>
      <c r="C24" s="563" t="s">
        <v>99</v>
      </c>
      <c r="D24" s="563" t="s">
        <v>103</v>
      </c>
      <c r="E24" s="563" t="s">
        <v>104</v>
      </c>
      <c r="F24" s="563" t="s">
        <v>105</v>
      </c>
      <c r="G24" s="620">
        <v>43.720700000000001</v>
      </c>
      <c r="H24" s="620">
        <v>142.07060000000001</v>
      </c>
      <c r="I24" s="552">
        <v>45036</v>
      </c>
      <c r="J24" s="564">
        <v>44700</v>
      </c>
      <c r="K24" s="565" t="s">
        <v>220</v>
      </c>
      <c r="L24" s="555">
        <v>45125</v>
      </c>
      <c r="M24" s="621"/>
    </row>
    <row r="25" spans="1:13">
      <c r="A25" s="550">
        <v>19</v>
      </c>
      <c r="B25" s="562"/>
      <c r="C25" s="563" t="s">
        <v>106</v>
      </c>
      <c r="D25" s="563" t="s">
        <v>255</v>
      </c>
      <c r="E25" s="575" t="s">
        <v>256</v>
      </c>
      <c r="F25" s="563" t="s">
        <v>257</v>
      </c>
      <c r="G25" s="599">
        <v>43.063000000000002</v>
      </c>
      <c r="H25" s="599">
        <v>141.81209999999999</v>
      </c>
      <c r="I25" s="552">
        <v>45031</v>
      </c>
      <c r="J25" s="564">
        <v>44701</v>
      </c>
      <c r="K25" s="565" t="s">
        <v>220</v>
      </c>
      <c r="L25" s="555">
        <v>45129</v>
      </c>
    </row>
    <row r="26" spans="1:13">
      <c r="A26" s="550">
        <v>20</v>
      </c>
      <c r="B26" s="562"/>
      <c r="C26" s="563" t="s">
        <v>110</v>
      </c>
      <c r="D26" s="563" t="s">
        <v>111</v>
      </c>
      <c r="E26" s="563" t="s">
        <v>216</v>
      </c>
      <c r="F26" s="563" t="s">
        <v>217</v>
      </c>
      <c r="G26" s="599">
        <v>43.593499999999999</v>
      </c>
      <c r="H26" s="599">
        <v>141.94370000000001</v>
      </c>
      <c r="I26" s="552">
        <v>45037</v>
      </c>
      <c r="J26" s="564">
        <v>45068</v>
      </c>
      <c r="K26" s="565" t="s">
        <v>154</v>
      </c>
      <c r="L26" s="566">
        <v>45130</v>
      </c>
    </row>
    <row r="27" spans="1:13">
      <c r="A27" s="550">
        <v>21</v>
      </c>
      <c r="B27" s="562"/>
      <c r="C27" s="563" t="s">
        <v>110</v>
      </c>
      <c r="D27" s="563" t="s">
        <v>115</v>
      </c>
      <c r="E27" s="563" t="s">
        <v>116</v>
      </c>
      <c r="F27" s="563" t="s">
        <v>115</v>
      </c>
      <c r="G27" s="599">
        <v>43.5169</v>
      </c>
      <c r="H27" s="599">
        <v>142.1951</v>
      </c>
      <c r="I27" s="552">
        <v>45039</v>
      </c>
      <c r="J27" s="564">
        <v>45070</v>
      </c>
      <c r="K27" s="619" t="s">
        <v>249</v>
      </c>
      <c r="L27" s="555">
        <v>45132</v>
      </c>
    </row>
    <row r="28" spans="1:13">
      <c r="A28" s="550">
        <v>22</v>
      </c>
      <c r="B28" s="562"/>
      <c r="C28" s="563" t="s">
        <v>118</v>
      </c>
      <c r="D28" s="563" t="s">
        <v>119</v>
      </c>
      <c r="E28" s="563" t="s">
        <v>120</v>
      </c>
      <c r="F28" s="563" t="s">
        <v>121</v>
      </c>
      <c r="G28" s="599">
        <v>43.031399999999998</v>
      </c>
      <c r="H28" s="599">
        <v>141.69059999999999</v>
      </c>
      <c r="I28" s="552">
        <v>45032</v>
      </c>
      <c r="J28" s="564">
        <v>45071</v>
      </c>
      <c r="K28" s="565" t="s">
        <v>154</v>
      </c>
      <c r="L28" s="555">
        <v>45131</v>
      </c>
    </row>
    <row r="29" spans="1:13">
      <c r="A29" s="550">
        <v>23</v>
      </c>
      <c r="B29" s="562"/>
      <c r="C29" s="563" t="s">
        <v>122</v>
      </c>
      <c r="D29" s="563" t="s">
        <v>123</v>
      </c>
      <c r="E29" s="563" t="s">
        <v>124</v>
      </c>
      <c r="F29" s="563" t="s">
        <v>125</v>
      </c>
      <c r="G29" s="599">
        <v>43.525300000000001</v>
      </c>
      <c r="H29" s="599">
        <v>141.83099999999999</v>
      </c>
      <c r="I29" s="552">
        <v>45031</v>
      </c>
      <c r="J29" s="564">
        <v>45065</v>
      </c>
      <c r="K29" s="567" t="s">
        <v>154</v>
      </c>
      <c r="L29" s="555">
        <v>45132</v>
      </c>
    </row>
    <row r="30" spans="1:13">
      <c r="A30" s="550">
        <v>24</v>
      </c>
      <c r="B30" s="562"/>
      <c r="C30" s="563" t="s">
        <v>127</v>
      </c>
      <c r="D30" s="563" t="s">
        <v>128</v>
      </c>
      <c r="E30" s="563" t="s">
        <v>129</v>
      </c>
      <c r="F30" s="563" t="s">
        <v>239</v>
      </c>
      <c r="G30" s="599">
        <v>43.453600000000002</v>
      </c>
      <c r="H30" s="599">
        <v>141.9109</v>
      </c>
      <c r="I30" s="552">
        <v>45040</v>
      </c>
      <c r="J30" s="564">
        <v>45073</v>
      </c>
      <c r="K30" s="565" t="s">
        <v>154</v>
      </c>
      <c r="L30" s="555">
        <v>45127</v>
      </c>
    </row>
    <row r="31" spans="1:13">
      <c r="A31" s="550">
        <v>25</v>
      </c>
      <c r="B31" s="562"/>
      <c r="C31" s="563" t="s">
        <v>131</v>
      </c>
      <c r="D31" s="563" t="s">
        <v>132</v>
      </c>
      <c r="E31" s="563" t="s">
        <v>218</v>
      </c>
      <c r="F31" s="563" t="s">
        <v>134</v>
      </c>
      <c r="G31" s="599">
        <v>43.0809</v>
      </c>
      <c r="H31" s="599">
        <v>141.7029</v>
      </c>
      <c r="I31" s="552">
        <v>45033</v>
      </c>
      <c r="J31" s="564">
        <v>44698</v>
      </c>
      <c r="K31" s="565" t="s">
        <v>249</v>
      </c>
      <c r="L31" s="555">
        <v>45131</v>
      </c>
    </row>
    <row r="32" spans="1:13">
      <c r="A32" s="550">
        <v>26</v>
      </c>
      <c r="B32" s="562"/>
      <c r="C32" s="563" t="s">
        <v>136</v>
      </c>
      <c r="D32" s="563" t="s">
        <v>137</v>
      </c>
      <c r="E32" s="563" t="s">
        <v>138</v>
      </c>
      <c r="F32" s="563" t="s">
        <v>139</v>
      </c>
      <c r="G32" s="599">
        <v>43.356099999999998</v>
      </c>
      <c r="H32" s="599">
        <v>141.86000000000001</v>
      </c>
      <c r="I32" s="552">
        <v>45028</v>
      </c>
      <c r="J32" s="564">
        <v>44698</v>
      </c>
      <c r="K32" s="565" t="s">
        <v>220</v>
      </c>
      <c r="L32" s="555">
        <v>45124</v>
      </c>
    </row>
    <row r="33" spans="1:12">
      <c r="A33" s="550">
        <v>27</v>
      </c>
      <c r="B33" s="562"/>
      <c r="C33" s="563" t="s">
        <v>141</v>
      </c>
      <c r="D33" s="563" t="s">
        <v>142</v>
      </c>
      <c r="E33" s="575" t="s">
        <v>219</v>
      </c>
      <c r="F33" s="563" t="s">
        <v>144</v>
      </c>
      <c r="G33" s="599">
        <v>43.756300000000003</v>
      </c>
      <c r="H33" s="599">
        <v>141.90119999999999</v>
      </c>
      <c r="I33" s="552">
        <v>45035</v>
      </c>
      <c r="J33" s="564">
        <v>45067</v>
      </c>
      <c r="K33" s="565" t="s">
        <v>154</v>
      </c>
      <c r="L33" s="555">
        <v>45131</v>
      </c>
    </row>
    <row r="34" spans="1:12">
      <c r="A34" s="568">
        <v>28</v>
      </c>
      <c r="B34" s="512"/>
      <c r="C34" s="569" t="s">
        <v>141</v>
      </c>
      <c r="D34" s="569" t="s">
        <v>146</v>
      </c>
      <c r="E34" s="475" t="s">
        <v>147</v>
      </c>
      <c r="F34" s="569" t="s">
        <v>148</v>
      </c>
      <c r="G34" s="601">
        <v>43.696800000000003</v>
      </c>
      <c r="H34" s="601">
        <v>141.9341</v>
      </c>
      <c r="I34" s="610">
        <v>45034</v>
      </c>
      <c r="J34" s="570">
        <v>44703</v>
      </c>
      <c r="K34" s="571" t="s">
        <v>154</v>
      </c>
      <c r="L34" s="572">
        <v>45132</v>
      </c>
    </row>
    <row r="35" spans="1:12">
      <c r="A35" s="544">
        <v>29</v>
      </c>
      <c r="B35" s="545" t="s">
        <v>149</v>
      </c>
      <c r="C35" s="414" t="s">
        <v>150</v>
      </c>
      <c r="D35" s="558" t="s">
        <v>151</v>
      </c>
      <c r="E35" s="414" t="s">
        <v>152</v>
      </c>
      <c r="F35" s="558" t="s">
        <v>153</v>
      </c>
      <c r="G35" s="602">
        <v>43.365699999999997</v>
      </c>
      <c r="H35" s="602">
        <v>141.72460000000001</v>
      </c>
      <c r="I35" s="611">
        <v>45029</v>
      </c>
      <c r="J35" s="573">
        <v>45065</v>
      </c>
      <c r="K35" s="574" t="s">
        <v>220</v>
      </c>
      <c r="L35" s="549">
        <v>45132</v>
      </c>
    </row>
    <row r="36" spans="1:12">
      <c r="A36" s="617">
        <v>30</v>
      </c>
      <c r="B36" s="618" t="s">
        <v>85</v>
      </c>
      <c r="C36" s="474" t="s">
        <v>150</v>
      </c>
      <c r="D36" s="474" t="s">
        <v>155</v>
      </c>
      <c r="E36" s="473" t="s">
        <v>156</v>
      </c>
      <c r="F36" s="563" t="s">
        <v>157</v>
      </c>
      <c r="G36" s="603">
        <v>44.000500000000002</v>
      </c>
      <c r="H36" s="603">
        <v>141.7578</v>
      </c>
      <c r="I36" s="578">
        <v>45028</v>
      </c>
      <c r="J36" s="576">
        <v>45064</v>
      </c>
      <c r="K36" s="577" t="s">
        <v>220</v>
      </c>
      <c r="L36" s="578">
        <v>45129</v>
      </c>
    </row>
    <row r="37" spans="1:12">
      <c r="A37" s="498">
        <v>31</v>
      </c>
      <c r="B37" s="557" t="s">
        <v>158</v>
      </c>
      <c r="C37" s="470" t="s">
        <v>159</v>
      </c>
      <c r="D37" s="470" t="s">
        <v>160</v>
      </c>
      <c r="E37" s="470" t="s">
        <v>161</v>
      </c>
      <c r="F37" s="579" t="s">
        <v>162</v>
      </c>
      <c r="G37" s="602">
        <v>43.803699999999999</v>
      </c>
      <c r="H37" s="602">
        <v>142.45150000000001</v>
      </c>
      <c r="I37" s="612">
        <v>45028</v>
      </c>
      <c r="J37" s="580">
        <v>45061</v>
      </c>
      <c r="K37" s="581" t="s">
        <v>154</v>
      </c>
      <c r="L37" s="691">
        <v>45128</v>
      </c>
    </row>
    <row r="38" spans="1:12">
      <c r="A38" s="617">
        <v>32</v>
      </c>
      <c r="B38" s="551"/>
      <c r="C38" s="474" t="s">
        <v>164</v>
      </c>
      <c r="D38" s="474" t="s">
        <v>165</v>
      </c>
      <c r="E38" s="474" t="s">
        <v>166</v>
      </c>
      <c r="F38" s="474" t="s">
        <v>167</v>
      </c>
      <c r="G38" s="604">
        <v>43.831299999999999</v>
      </c>
      <c r="H38" s="604">
        <v>142.39680000000001</v>
      </c>
      <c r="I38" s="613">
        <v>45035</v>
      </c>
      <c r="J38" s="582">
        <v>45065</v>
      </c>
      <c r="K38" s="583" t="s">
        <v>154</v>
      </c>
      <c r="L38" s="555">
        <v>45128</v>
      </c>
    </row>
    <row r="39" spans="1:12">
      <c r="A39" s="617">
        <v>33</v>
      </c>
      <c r="B39" s="551" t="s">
        <v>168</v>
      </c>
      <c r="C39" s="474" t="s">
        <v>169</v>
      </c>
      <c r="D39" s="474" t="s">
        <v>170</v>
      </c>
      <c r="E39" s="474" t="s">
        <v>171</v>
      </c>
      <c r="F39" s="563" t="s">
        <v>172</v>
      </c>
      <c r="G39" s="599">
        <v>43.392699999999998</v>
      </c>
      <c r="H39" s="599">
        <v>142.39779999999999</v>
      </c>
      <c r="I39" s="614">
        <v>45035</v>
      </c>
      <c r="J39" s="584">
        <v>44699</v>
      </c>
      <c r="K39" s="583" t="s">
        <v>154</v>
      </c>
      <c r="L39" s="555">
        <v>45133</v>
      </c>
    </row>
    <row r="40" spans="1:12">
      <c r="A40" s="617">
        <v>34</v>
      </c>
      <c r="B40" s="551"/>
      <c r="C40" s="474" t="s">
        <v>169</v>
      </c>
      <c r="D40" s="474" t="s">
        <v>173</v>
      </c>
      <c r="E40" s="474" t="s">
        <v>174</v>
      </c>
      <c r="F40" s="474" t="s">
        <v>175</v>
      </c>
      <c r="G40" s="599">
        <v>43.430799999999998</v>
      </c>
      <c r="H40" s="599">
        <v>142.43090000000001</v>
      </c>
      <c r="I40" s="614">
        <v>45037</v>
      </c>
      <c r="J40" s="584">
        <v>45075</v>
      </c>
      <c r="K40" s="583" t="s">
        <v>154</v>
      </c>
      <c r="L40" s="555">
        <v>45133</v>
      </c>
    </row>
    <row r="41" spans="1:12">
      <c r="A41" s="617">
        <v>35</v>
      </c>
      <c r="B41" s="585"/>
      <c r="C41" s="474" t="s">
        <v>176</v>
      </c>
      <c r="D41" s="474" t="s">
        <v>177</v>
      </c>
      <c r="E41" s="474" t="s">
        <v>178</v>
      </c>
      <c r="F41" s="563" t="s">
        <v>179</v>
      </c>
      <c r="G41" s="599">
        <v>43.703099999999999</v>
      </c>
      <c r="H41" s="599">
        <v>142.44220000000001</v>
      </c>
      <c r="I41" s="614">
        <v>45036</v>
      </c>
      <c r="J41" s="584">
        <v>45063</v>
      </c>
      <c r="K41" s="586" t="s">
        <v>220</v>
      </c>
      <c r="L41" s="555">
        <v>45130</v>
      </c>
    </row>
    <row r="42" spans="1:12">
      <c r="A42" s="617">
        <v>36</v>
      </c>
      <c r="B42" s="551"/>
      <c r="C42" s="474" t="s">
        <v>180</v>
      </c>
      <c r="D42" s="474" t="s">
        <v>181</v>
      </c>
      <c r="E42" s="474" t="s">
        <v>182</v>
      </c>
      <c r="F42" s="563" t="s">
        <v>183</v>
      </c>
      <c r="G42" s="599">
        <v>43.6995</v>
      </c>
      <c r="H42" s="599">
        <v>142.5335</v>
      </c>
      <c r="I42" s="614">
        <v>45033</v>
      </c>
      <c r="J42" s="584">
        <v>45063</v>
      </c>
      <c r="K42" s="586" t="s">
        <v>220</v>
      </c>
      <c r="L42" s="555">
        <v>45129</v>
      </c>
    </row>
    <row r="43" spans="1:12">
      <c r="A43" s="617">
        <v>37</v>
      </c>
      <c r="B43" s="551"/>
      <c r="C43" s="474" t="s">
        <v>185</v>
      </c>
      <c r="D43" s="474" t="s">
        <v>186</v>
      </c>
      <c r="E43" s="474" t="s">
        <v>187</v>
      </c>
      <c r="F43" s="563" t="s">
        <v>188</v>
      </c>
      <c r="G43" s="599">
        <v>43.851399999999998</v>
      </c>
      <c r="H43" s="599">
        <v>142.52959999999999</v>
      </c>
      <c r="I43" s="614">
        <v>45031</v>
      </c>
      <c r="J43" s="584">
        <v>45061</v>
      </c>
      <c r="K43" s="586" t="s">
        <v>220</v>
      </c>
      <c r="L43" s="555">
        <v>45129</v>
      </c>
    </row>
    <row r="44" spans="1:12">
      <c r="A44" s="617">
        <v>38</v>
      </c>
      <c r="B44" s="551"/>
      <c r="C44" s="474" t="s">
        <v>189</v>
      </c>
      <c r="D44" s="474" t="s">
        <v>190</v>
      </c>
      <c r="E44" s="474" t="s">
        <v>191</v>
      </c>
      <c r="F44" s="563" t="s">
        <v>192</v>
      </c>
      <c r="G44" s="599">
        <v>43.865600000000001</v>
      </c>
      <c r="H44" s="599">
        <v>142.4709</v>
      </c>
      <c r="I44" s="614">
        <v>45031</v>
      </c>
      <c r="J44" s="584">
        <v>45060</v>
      </c>
      <c r="K44" s="586" t="s">
        <v>220</v>
      </c>
      <c r="L44" s="584">
        <v>45129</v>
      </c>
    </row>
    <row r="45" spans="1:12">
      <c r="A45" s="617">
        <v>39</v>
      </c>
      <c r="B45" s="551"/>
      <c r="C45" s="474" t="s">
        <v>193</v>
      </c>
      <c r="D45" s="474" t="s">
        <v>194</v>
      </c>
      <c r="E45" s="474" t="s">
        <v>195</v>
      </c>
      <c r="F45" s="563" t="s">
        <v>196</v>
      </c>
      <c r="G45" s="599">
        <v>43.589799999999997</v>
      </c>
      <c r="H45" s="599">
        <v>142.4836</v>
      </c>
      <c r="I45" s="614">
        <v>45037</v>
      </c>
      <c r="J45" s="584">
        <v>45072</v>
      </c>
      <c r="K45" s="586" t="s">
        <v>258</v>
      </c>
      <c r="L45" s="584">
        <v>45131</v>
      </c>
    </row>
    <row r="46" spans="1:12">
      <c r="A46" s="543">
        <v>40</v>
      </c>
      <c r="B46" s="516"/>
      <c r="C46" s="397" t="s">
        <v>197</v>
      </c>
      <c r="D46" s="397" t="s">
        <v>198</v>
      </c>
      <c r="E46" s="397" t="s">
        <v>199</v>
      </c>
      <c r="F46" s="396" t="s">
        <v>200</v>
      </c>
      <c r="G46" s="605">
        <v>43.999699999999997</v>
      </c>
      <c r="H46" s="605">
        <v>142.42500000000001</v>
      </c>
      <c r="I46" s="615">
        <v>45032</v>
      </c>
      <c r="J46" s="22">
        <v>44700</v>
      </c>
      <c r="K46" s="14" t="s">
        <v>154</v>
      </c>
      <c r="L46" s="692">
        <v>45131</v>
      </c>
    </row>
    <row r="47" spans="1:12">
      <c r="A47" s="524" t="s">
        <v>242</v>
      </c>
      <c r="B47" s="533"/>
      <c r="L47" s="12"/>
    </row>
  </sheetData>
  <mergeCells count="14">
    <mergeCell ref="K2:L2"/>
    <mergeCell ref="A3:F3"/>
    <mergeCell ref="A4:A6"/>
    <mergeCell ref="B4:B6"/>
    <mergeCell ref="C4:C6"/>
    <mergeCell ref="D4:D6"/>
    <mergeCell ref="E4:E6"/>
    <mergeCell ref="F4:F6"/>
    <mergeCell ref="G3:G6"/>
    <mergeCell ref="H3:H6"/>
    <mergeCell ref="I5:I6"/>
    <mergeCell ref="J5:J6"/>
    <mergeCell ref="K5:K6"/>
    <mergeCell ref="L5:L6"/>
  </mergeCells>
  <phoneticPr fontId="1"/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915D-0956-44A4-8B29-5ED11C8CE3EA}">
  <sheetPr>
    <pageSetUpPr fitToPage="1"/>
  </sheetPr>
  <dimension ref="A1:S51"/>
  <sheetViews>
    <sheetView topLeftCell="A4" zoomScale="85" zoomScaleNormal="85" workbookViewId="0">
      <selection activeCell="D52" sqref="D52"/>
    </sheetView>
  </sheetViews>
  <sheetFormatPr baseColWidth="10" defaultColWidth="9" defaultRowHeight="14"/>
  <cols>
    <col min="1" max="2" width="9" style="523"/>
    <col min="3" max="4" width="13.5" style="523" customWidth="1"/>
    <col min="5" max="5" width="18" style="523" customWidth="1"/>
    <col min="6" max="6" width="24.5" style="523" customWidth="1"/>
    <col min="7" max="7" width="11.5" style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hidden="1" customWidth="1"/>
    <col min="12" max="12" width="9.5" style="28" hidden="1" customWidth="1"/>
    <col min="13" max="13" width="23.5" style="28" customWidth="1"/>
    <col min="14" max="14" width="2.5" style="28" customWidth="1"/>
    <col min="15" max="15" width="9.5" style="28" customWidth="1"/>
    <col min="16" max="17" width="10.5" style="28" bestFit="1" customWidth="1"/>
    <col min="18" max="18" width="9.5" style="28" customWidth="1"/>
    <col min="19" max="19" width="24.5" style="523" customWidth="1"/>
    <col min="20" max="16384" width="9" style="523"/>
  </cols>
  <sheetData>
    <row r="1" spans="1:19" ht="22">
      <c r="A1" s="517" t="s">
        <v>259</v>
      </c>
      <c r="S1" s="524" t="s">
        <v>226</v>
      </c>
    </row>
    <row r="2" spans="1:19" ht="22">
      <c r="A2" s="517" t="s">
        <v>244</v>
      </c>
      <c r="S2" s="525">
        <f ca="1">NOW()</f>
        <v>46244.880165972223</v>
      </c>
    </row>
    <row r="3" spans="1:19" ht="30">
      <c r="A3" s="805" t="s">
        <v>260</v>
      </c>
      <c r="B3" s="805"/>
      <c r="C3" s="805"/>
      <c r="D3" s="805"/>
      <c r="E3" s="805"/>
      <c r="F3" s="805"/>
      <c r="G3" s="426" t="s">
        <v>10</v>
      </c>
      <c r="H3" s="290" t="s">
        <v>11</v>
      </c>
      <c r="I3" s="290" t="s">
        <v>12</v>
      </c>
      <c r="J3" s="420" t="s">
        <v>13</v>
      </c>
      <c r="K3" s="410" t="s">
        <v>261</v>
      </c>
      <c r="L3" s="430" t="s">
        <v>262</v>
      </c>
      <c r="M3" s="862" t="s">
        <v>5</v>
      </c>
      <c r="N3" s="438"/>
      <c r="O3" s="856" t="s">
        <v>263</v>
      </c>
      <c r="P3" s="857"/>
      <c r="Q3" s="857"/>
      <c r="R3" s="858"/>
      <c r="S3" s="859" t="s">
        <v>5</v>
      </c>
    </row>
    <row r="4" spans="1:19" ht="13.5" customHeight="1">
      <c r="A4" s="816" t="s">
        <v>16</v>
      </c>
      <c r="B4" s="828" t="s">
        <v>17</v>
      </c>
      <c r="C4" s="816" t="s">
        <v>18</v>
      </c>
      <c r="D4" s="816" t="s">
        <v>19</v>
      </c>
      <c r="E4" s="813" t="s">
        <v>20</v>
      </c>
      <c r="F4" s="816" t="s">
        <v>21</v>
      </c>
      <c r="G4" s="427"/>
      <c r="H4" s="291"/>
      <c r="I4" s="291" t="s">
        <v>22</v>
      </c>
      <c r="J4" s="387"/>
      <c r="K4" s="409"/>
      <c r="L4" s="526"/>
      <c r="M4" s="850"/>
      <c r="N4" s="524"/>
      <c r="O4" s="805" t="s">
        <v>264</v>
      </c>
      <c r="P4" s="854" t="s">
        <v>265</v>
      </c>
      <c r="Q4" s="862" t="s">
        <v>266</v>
      </c>
      <c r="R4" s="854" t="s">
        <v>267</v>
      </c>
      <c r="S4" s="860"/>
    </row>
    <row r="5" spans="1:19" ht="13.5" customHeight="1">
      <c r="A5" s="816"/>
      <c r="B5" s="828"/>
      <c r="C5" s="816"/>
      <c r="D5" s="816"/>
      <c r="E5" s="814"/>
      <c r="F5" s="816"/>
      <c r="G5" s="842" t="s">
        <v>23</v>
      </c>
      <c r="H5" s="844" t="s">
        <v>23</v>
      </c>
      <c r="I5" s="846" t="s">
        <v>24</v>
      </c>
      <c r="J5" s="848" t="s">
        <v>23</v>
      </c>
      <c r="K5" s="850"/>
      <c r="L5" s="852" t="s">
        <v>268</v>
      </c>
      <c r="M5" s="852"/>
      <c r="N5" s="439"/>
      <c r="O5" s="805"/>
      <c r="P5" s="854"/>
      <c r="Q5" s="850"/>
      <c r="R5" s="854"/>
      <c r="S5" s="860"/>
    </row>
    <row r="6" spans="1:19">
      <c r="A6" s="816"/>
      <c r="B6" s="828"/>
      <c r="C6" s="816"/>
      <c r="D6" s="816"/>
      <c r="E6" s="815"/>
      <c r="F6" s="816"/>
      <c r="G6" s="843"/>
      <c r="H6" s="845"/>
      <c r="I6" s="847"/>
      <c r="J6" s="849"/>
      <c r="K6" s="851"/>
      <c r="L6" s="853"/>
      <c r="M6" s="853"/>
      <c r="N6" s="442"/>
      <c r="O6" s="805"/>
      <c r="P6" s="854"/>
      <c r="Q6" s="851"/>
      <c r="R6" s="854"/>
      <c r="S6" s="861"/>
    </row>
    <row r="7" spans="1:19">
      <c r="A7" s="507">
        <v>1</v>
      </c>
      <c r="B7" s="426" t="s">
        <v>26</v>
      </c>
      <c r="C7" s="402" t="s">
        <v>27</v>
      </c>
      <c r="D7" s="402" t="s">
        <v>28</v>
      </c>
      <c r="E7" s="402" t="s">
        <v>29</v>
      </c>
      <c r="F7" s="458" t="s">
        <v>30</v>
      </c>
      <c r="G7" s="428">
        <v>44671</v>
      </c>
      <c r="H7" s="103">
        <v>44702</v>
      </c>
      <c r="I7" s="434" t="s">
        <v>246</v>
      </c>
      <c r="J7" s="278">
        <v>44772</v>
      </c>
      <c r="K7" s="185">
        <f>J7+30</f>
        <v>44802</v>
      </c>
      <c r="L7" s="431"/>
      <c r="M7" s="518"/>
      <c r="N7" s="440"/>
      <c r="O7" s="470"/>
      <c r="P7" s="470"/>
      <c r="Q7" s="470"/>
      <c r="R7" s="498" t="s">
        <v>269</v>
      </c>
      <c r="S7" s="467"/>
    </row>
    <row r="8" spans="1:19">
      <c r="A8" s="527">
        <v>2</v>
      </c>
      <c r="B8" s="427" t="s">
        <v>32</v>
      </c>
      <c r="C8" s="412" t="s">
        <v>230</v>
      </c>
      <c r="D8" s="412" t="s">
        <v>34</v>
      </c>
      <c r="E8" s="412" t="s">
        <v>247</v>
      </c>
      <c r="F8" s="412" t="s">
        <v>231</v>
      </c>
      <c r="G8" s="429">
        <v>44674</v>
      </c>
      <c r="H8" s="110">
        <v>44706</v>
      </c>
      <c r="I8" s="435" t="s">
        <v>246</v>
      </c>
      <c r="J8" s="279">
        <v>44771</v>
      </c>
      <c r="K8" s="186">
        <f t="shared" ref="K8:K20" si="0">J8+30</f>
        <v>44801</v>
      </c>
      <c r="L8" s="432"/>
      <c r="M8" s="519"/>
      <c r="N8" s="440"/>
      <c r="O8" s="471"/>
      <c r="P8" s="471"/>
      <c r="Q8" s="471"/>
      <c r="R8" s="478" t="s">
        <v>270</v>
      </c>
      <c r="S8" s="424"/>
    </row>
    <row r="9" spans="1:19">
      <c r="A9" s="528">
        <v>3</v>
      </c>
      <c r="B9" s="516"/>
      <c r="C9" s="411" t="s">
        <v>37</v>
      </c>
      <c r="D9" s="411" t="s">
        <v>38</v>
      </c>
      <c r="E9" s="411" t="s">
        <v>39</v>
      </c>
      <c r="F9" s="411" t="s">
        <v>40</v>
      </c>
      <c r="G9" s="535" t="s">
        <v>271</v>
      </c>
      <c r="H9" s="118">
        <v>44706</v>
      </c>
      <c r="I9" s="436" t="s">
        <v>184</v>
      </c>
      <c r="J9" s="283">
        <v>44770</v>
      </c>
      <c r="K9" s="27">
        <f t="shared" si="0"/>
        <v>44800</v>
      </c>
      <c r="L9" s="433"/>
      <c r="M9" s="520"/>
      <c r="N9" s="440"/>
      <c r="O9" s="499">
        <v>60</v>
      </c>
      <c r="P9" s="499">
        <v>13</v>
      </c>
      <c r="Q9" s="499">
        <v>33</v>
      </c>
      <c r="R9" s="529">
        <f>10000/P9/Q9</f>
        <v>23.310023310023311</v>
      </c>
      <c r="S9" s="424" t="s">
        <v>272</v>
      </c>
    </row>
    <row r="10" spans="1:19">
      <c r="A10" s="507">
        <v>4</v>
      </c>
      <c r="B10" s="426" t="s">
        <v>41</v>
      </c>
      <c r="C10" s="402" t="s">
        <v>42</v>
      </c>
      <c r="D10" s="402" t="s">
        <v>43</v>
      </c>
      <c r="E10" s="402" t="s">
        <v>44</v>
      </c>
      <c r="F10" s="402" t="s">
        <v>45</v>
      </c>
      <c r="G10" s="187">
        <v>44673</v>
      </c>
      <c r="H10" s="156">
        <v>44703</v>
      </c>
      <c r="I10" s="145" t="s">
        <v>248</v>
      </c>
      <c r="J10" s="275">
        <v>44767</v>
      </c>
      <c r="K10" s="196">
        <f t="shared" si="0"/>
        <v>44797</v>
      </c>
      <c r="L10" s="203"/>
      <c r="M10" s="215"/>
      <c r="N10" s="441"/>
      <c r="O10" s="471"/>
      <c r="P10" s="471"/>
      <c r="Q10" s="471"/>
      <c r="R10" s="471"/>
      <c r="S10" s="855" t="s">
        <v>273</v>
      </c>
    </row>
    <row r="11" spans="1:19">
      <c r="A11" s="527">
        <v>5</v>
      </c>
      <c r="B11" s="427" t="s">
        <v>32</v>
      </c>
      <c r="C11" s="412" t="s">
        <v>47</v>
      </c>
      <c r="D11" s="412" t="s">
        <v>48</v>
      </c>
      <c r="E11" s="412" t="s">
        <v>49</v>
      </c>
      <c r="F11" s="412" t="s">
        <v>50</v>
      </c>
      <c r="G11" s="186">
        <v>44669</v>
      </c>
      <c r="H11" s="163">
        <v>44698</v>
      </c>
      <c r="I11" s="144" t="s">
        <v>249</v>
      </c>
      <c r="J11" s="275">
        <v>44767</v>
      </c>
      <c r="K11" s="196">
        <f t="shared" si="0"/>
        <v>44797</v>
      </c>
      <c r="L11" s="204"/>
      <c r="M11" s="216"/>
      <c r="N11" s="441"/>
      <c r="O11" s="471"/>
      <c r="P11" s="471"/>
      <c r="Q11" s="471"/>
      <c r="R11" s="471"/>
      <c r="S11" s="855"/>
    </row>
    <row r="12" spans="1:19">
      <c r="A12" s="528">
        <v>6</v>
      </c>
      <c r="B12" s="516"/>
      <c r="C12" s="411" t="s">
        <v>47</v>
      </c>
      <c r="D12" s="411" t="s">
        <v>52</v>
      </c>
      <c r="E12" s="411" t="s">
        <v>53</v>
      </c>
      <c r="F12" s="411" t="s">
        <v>54</v>
      </c>
      <c r="G12" s="27">
        <v>44669</v>
      </c>
      <c r="H12" s="170">
        <v>44701</v>
      </c>
      <c r="I12" s="146" t="s">
        <v>249</v>
      </c>
      <c r="J12" s="276">
        <v>44768</v>
      </c>
      <c r="K12" s="197">
        <f t="shared" si="0"/>
        <v>44798</v>
      </c>
      <c r="L12" s="205"/>
      <c r="M12" s="217"/>
      <c r="N12" s="441"/>
      <c r="O12" s="471"/>
      <c r="P12" s="471"/>
      <c r="Q12" s="471"/>
      <c r="R12" s="471"/>
      <c r="S12" s="424"/>
    </row>
    <row r="13" spans="1:19">
      <c r="A13" s="4">
        <v>7</v>
      </c>
      <c r="B13" s="9" t="s">
        <v>55</v>
      </c>
      <c r="C13" s="401" t="s">
        <v>56</v>
      </c>
      <c r="D13" s="401" t="s">
        <v>57</v>
      </c>
      <c r="E13" s="401" t="s">
        <v>58</v>
      </c>
      <c r="F13" s="401" t="s">
        <v>59</v>
      </c>
      <c r="G13" s="103">
        <v>44668</v>
      </c>
      <c r="H13" s="80">
        <v>44698</v>
      </c>
      <c r="I13" s="145" t="s">
        <v>250</v>
      </c>
      <c r="J13" s="274">
        <v>44769</v>
      </c>
      <c r="K13" s="198">
        <f t="shared" si="0"/>
        <v>44799</v>
      </c>
      <c r="L13" s="206"/>
      <c r="M13" s="214"/>
      <c r="N13" s="440"/>
      <c r="O13" s="471"/>
      <c r="P13" s="471"/>
      <c r="Q13" s="471"/>
      <c r="R13" s="471"/>
      <c r="S13" s="424"/>
    </row>
    <row r="14" spans="1:19">
      <c r="A14" s="508">
        <v>8</v>
      </c>
      <c r="B14" s="10" t="s">
        <v>60</v>
      </c>
      <c r="C14" s="503" t="s">
        <v>274</v>
      </c>
      <c r="D14" s="503" t="s">
        <v>275</v>
      </c>
      <c r="E14" s="506" t="s">
        <v>276</v>
      </c>
      <c r="F14" s="503" t="s">
        <v>277</v>
      </c>
      <c r="G14" s="110">
        <v>44674</v>
      </c>
      <c r="H14" s="72">
        <v>44703</v>
      </c>
      <c r="I14" s="273" t="s">
        <v>235</v>
      </c>
      <c r="J14" s="275">
        <v>44774</v>
      </c>
      <c r="K14" s="196">
        <f t="shared" si="0"/>
        <v>44804</v>
      </c>
      <c r="L14" s="201"/>
      <c r="M14" s="110"/>
      <c r="N14" s="440"/>
      <c r="O14" s="471"/>
      <c r="P14" s="471"/>
      <c r="Q14" s="471"/>
      <c r="R14" s="471"/>
      <c r="S14" s="424"/>
    </row>
    <row r="15" spans="1:19">
      <c r="A15" s="508">
        <v>9</v>
      </c>
      <c r="B15" s="10"/>
      <c r="C15" s="503" t="s">
        <v>62</v>
      </c>
      <c r="D15" s="503" t="s">
        <v>63</v>
      </c>
      <c r="E15" s="506" t="s">
        <v>64</v>
      </c>
      <c r="F15" s="503" t="s">
        <v>65</v>
      </c>
      <c r="G15" s="110">
        <v>44667</v>
      </c>
      <c r="H15" s="72">
        <v>44701</v>
      </c>
      <c r="I15" s="273" t="s">
        <v>252</v>
      </c>
      <c r="J15" s="275">
        <v>44776</v>
      </c>
      <c r="K15" s="196">
        <f t="shared" si="0"/>
        <v>44806</v>
      </c>
      <c r="L15" s="201"/>
      <c r="M15" s="110"/>
      <c r="N15" s="440"/>
      <c r="O15" s="471"/>
      <c r="P15" s="471"/>
      <c r="Q15" s="471"/>
      <c r="R15" s="471"/>
      <c r="S15" s="424"/>
    </row>
    <row r="16" spans="1:19">
      <c r="A16" s="508">
        <v>10</v>
      </c>
      <c r="B16" s="10"/>
      <c r="C16" s="503" t="s">
        <v>67</v>
      </c>
      <c r="D16" s="503" t="s">
        <v>68</v>
      </c>
      <c r="E16" s="503" t="s">
        <v>278</v>
      </c>
      <c r="F16" s="503" t="s">
        <v>70</v>
      </c>
      <c r="G16" s="110">
        <v>44667</v>
      </c>
      <c r="H16" s="72">
        <v>44702</v>
      </c>
      <c r="I16" s="144" t="s">
        <v>253</v>
      </c>
      <c r="J16" s="275">
        <v>44769</v>
      </c>
      <c r="K16" s="196">
        <f t="shared" si="0"/>
        <v>44799</v>
      </c>
      <c r="L16" s="201"/>
      <c r="M16" s="110"/>
      <c r="N16" s="440"/>
      <c r="O16" s="471"/>
      <c r="P16" s="471"/>
      <c r="Q16" s="471"/>
      <c r="R16" s="471"/>
      <c r="S16" s="424"/>
    </row>
    <row r="17" spans="1:19">
      <c r="A17" s="508">
        <v>11</v>
      </c>
      <c r="B17" s="10"/>
      <c r="C17" s="503" t="s">
        <v>71</v>
      </c>
      <c r="D17" s="503" t="s">
        <v>72</v>
      </c>
      <c r="E17" s="503" t="s">
        <v>279</v>
      </c>
      <c r="F17" s="503" t="s">
        <v>74</v>
      </c>
      <c r="G17" s="110">
        <v>44669</v>
      </c>
      <c r="H17" s="110">
        <v>44702</v>
      </c>
      <c r="I17" s="20" t="s">
        <v>235</v>
      </c>
      <c r="J17" s="275">
        <v>44769</v>
      </c>
      <c r="K17" s="196">
        <f t="shared" si="0"/>
        <v>44799</v>
      </c>
      <c r="L17" s="201"/>
      <c r="M17" s="110"/>
      <c r="N17" s="440"/>
      <c r="O17" s="471"/>
      <c r="P17" s="471"/>
      <c r="Q17" s="471"/>
      <c r="R17" s="471"/>
      <c r="S17" s="424"/>
    </row>
    <row r="18" spans="1:19">
      <c r="A18" s="5">
        <v>12</v>
      </c>
      <c r="B18" s="516"/>
      <c r="C18" s="504" t="s">
        <v>75</v>
      </c>
      <c r="D18" s="504" t="s">
        <v>76</v>
      </c>
      <c r="E18" s="504" t="s">
        <v>77</v>
      </c>
      <c r="F18" s="504" t="s">
        <v>78</v>
      </c>
      <c r="G18" s="118">
        <v>44679</v>
      </c>
      <c r="H18" s="76">
        <v>44703</v>
      </c>
      <c r="I18" s="146" t="s">
        <v>184</v>
      </c>
      <c r="J18" s="277">
        <v>44767</v>
      </c>
      <c r="K18" s="197">
        <f t="shared" si="0"/>
        <v>44797</v>
      </c>
      <c r="L18" s="202"/>
      <c r="M18" s="118"/>
      <c r="N18" s="440"/>
      <c r="O18" s="471"/>
      <c r="P18" s="471"/>
      <c r="Q18" s="471"/>
      <c r="R18" s="471"/>
      <c r="S18" s="424"/>
    </row>
    <row r="19" spans="1:19">
      <c r="A19" s="507">
        <v>13</v>
      </c>
      <c r="B19" s="426" t="s">
        <v>79</v>
      </c>
      <c r="C19" s="488" t="s">
        <v>80</v>
      </c>
      <c r="D19" s="488" t="s">
        <v>81</v>
      </c>
      <c r="E19" s="489" t="s">
        <v>82</v>
      </c>
      <c r="F19" s="488" t="s">
        <v>83</v>
      </c>
      <c r="G19" s="490">
        <v>44669</v>
      </c>
      <c r="H19" s="491">
        <v>44703</v>
      </c>
      <c r="I19" s="492" t="s">
        <v>220</v>
      </c>
      <c r="J19" s="278">
        <v>44769</v>
      </c>
      <c r="K19" s="493">
        <f t="shared" si="0"/>
        <v>44799</v>
      </c>
      <c r="L19" s="494"/>
      <c r="M19" s="494"/>
      <c r="N19" s="440"/>
      <c r="O19" s="468">
        <v>60</v>
      </c>
      <c r="P19" s="468">
        <v>15</v>
      </c>
      <c r="Q19" s="468">
        <v>33</v>
      </c>
      <c r="R19" s="469">
        <f>10000/P19/Q19</f>
        <v>20.202020202020201</v>
      </c>
      <c r="S19" s="443"/>
    </row>
    <row r="20" spans="1:19">
      <c r="A20" s="508">
        <v>14</v>
      </c>
      <c r="B20" s="514" t="s">
        <v>280</v>
      </c>
      <c r="C20" s="468" t="s">
        <v>86</v>
      </c>
      <c r="D20" s="468" t="s">
        <v>87</v>
      </c>
      <c r="E20" s="468" t="s">
        <v>281</v>
      </c>
      <c r="F20" s="468" t="s">
        <v>89</v>
      </c>
      <c r="G20" s="495">
        <v>44669</v>
      </c>
      <c r="H20" s="496">
        <v>44704</v>
      </c>
      <c r="I20" s="497" t="s">
        <v>254</v>
      </c>
      <c r="J20" s="279">
        <v>44768</v>
      </c>
      <c r="K20" s="449">
        <f t="shared" si="0"/>
        <v>44798</v>
      </c>
      <c r="L20" s="443"/>
      <c r="M20" s="443"/>
      <c r="N20" s="440"/>
      <c r="O20" s="468">
        <v>60</v>
      </c>
      <c r="P20" s="468">
        <v>14</v>
      </c>
      <c r="Q20" s="468">
        <v>33</v>
      </c>
      <c r="R20" s="469">
        <f>10000/P20/Q20</f>
        <v>21.645021645021647</v>
      </c>
      <c r="S20" s="443"/>
    </row>
    <row r="21" spans="1:19">
      <c r="A21" s="508">
        <v>15</v>
      </c>
      <c r="B21" s="514"/>
      <c r="C21" s="530" t="s">
        <v>282</v>
      </c>
      <c r="D21" s="530" t="s">
        <v>283</v>
      </c>
      <c r="E21" s="530" t="s">
        <v>284</v>
      </c>
      <c r="F21" s="530" t="s">
        <v>285</v>
      </c>
      <c r="G21" s="418">
        <v>44672</v>
      </c>
      <c r="H21" s="419">
        <v>44702</v>
      </c>
      <c r="I21" s="273" t="s">
        <v>235</v>
      </c>
      <c r="J21" s="522">
        <v>44775</v>
      </c>
      <c r="K21" s="196">
        <f t="shared" ref="K21:K23" si="1">J21+30</f>
        <v>44805</v>
      </c>
      <c r="L21" s="201"/>
      <c r="M21" s="110"/>
      <c r="N21" s="440"/>
      <c r="O21" s="471"/>
      <c r="P21" s="471"/>
      <c r="Q21" s="471"/>
      <c r="R21" s="471"/>
      <c r="S21" s="424"/>
    </row>
    <row r="22" spans="1:19">
      <c r="A22" s="508">
        <v>16</v>
      </c>
      <c r="B22" s="514"/>
      <c r="C22" s="531" t="s">
        <v>282</v>
      </c>
      <c r="D22" s="531" t="s">
        <v>283</v>
      </c>
      <c r="E22" s="531" t="s">
        <v>286</v>
      </c>
      <c r="F22" s="531" t="s">
        <v>285</v>
      </c>
      <c r="G22" s="418">
        <v>44672</v>
      </c>
      <c r="H22" s="419">
        <v>44702</v>
      </c>
      <c r="I22" s="273" t="s">
        <v>235</v>
      </c>
      <c r="J22" s="275">
        <v>44775</v>
      </c>
      <c r="K22" s="196">
        <f t="shared" si="1"/>
        <v>44805</v>
      </c>
      <c r="L22" s="201"/>
      <c r="M22" s="110"/>
      <c r="N22" s="440"/>
      <c r="O22" s="471"/>
      <c r="P22" s="471"/>
      <c r="Q22" s="471"/>
      <c r="R22" s="471"/>
      <c r="S22" s="424"/>
    </row>
    <row r="23" spans="1:19">
      <c r="A23" s="291">
        <v>17</v>
      </c>
      <c r="B23" s="511"/>
      <c r="C23" s="531" t="s">
        <v>282</v>
      </c>
      <c r="D23" s="500" t="s">
        <v>283</v>
      </c>
      <c r="E23" s="500" t="s">
        <v>287</v>
      </c>
      <c r="F23" s="500" t="s">
        <v>288</v>
      </c>
      <c r="G23" s="437">
        <v>44672</v>
      </c>
      <c r="H23" s="96">
        <v>44702</v>
      </c>
      <c r="I23" s="459" t="s">
        <v>235</v>
      </c>
      <c r="J23" s="415">
        <v>44772</v>
      </c>
      <c r="K23" s="416">
        <f t="shared" si="1"/>
        <v>44802</v>
      </c>
      <c r="L23" s="417"/>
      <c r="M23" s="521"/>
      <c r="N23" s="440"/>
      <c r="O23" s="471"/>
      <c r="P23" s="471"/>
      <c r="Q23" s="471"/>
      <c r="R23" s="478"/>
      <c r="S23" s="424"/>
    </row>
    <row r="24" spans="1:19">
      <c r="A24" s="4">
        <v>18</v>
      </c>
      <c r="B24" s="9" t="s">
        <v>90</v>
      </c>
      <c r="C24" s="537" t="s">
        <v>91</v>
      </c>
      <c r="D24" s="537" t="s">
        <v>92</v>
      </c>
      <c r="E24" s="537" t="s">
        <v>93</v>
      </c>
      <c r="F24" s="537" t="s">
        <v>94</v>
      </c>
      <c r="G24" s="538">
        <v>44669</v>
      </c>
      <c r="H24" s="539">
        <v>44699</v>
      </c>
      <c r="I24" s="540" t="s">
        <v>254</v>
      </c>
      <c r="J24" s="278">
        <v>44772</v>
      </c>
      <c r="K24" s="187">
        <f>J24+30</f>
        <v>44802</v>
      </c>
      <c r="L24" s="206"/>
      <c r="M24" s="454"/>
      <c r="N24" s="541"/>
      <c r="O24" s="488">
        <v>60</v>
      </c>
      <c r="P24" s="488">
        <v>13</v>
      </c>
      <c r="Q24" s="488">
        <v>30</v>
      </c>
      <c r="R24" s="542">
        <f>10000/P24/Q24</f>
        <v>25.641025641025642</v>
      </c>
      <c r="S24" s="538"/>
    </row>
    <row r="25" spans="1:19">
      <c r="A25" s="508" t="s">
        <v>289</v>
      </c>
      <c r="B25" s="524"/>
      <c r="C25" s="501" t="s">
        <v>91</v>
      </c>
      <c r="D25" s="501" t="s">
        <v>95</v>
      </c>
      <c r="E25" s="501" t="s">
        <v>290</v>
      </c>
      <c r="F25" s="501" t="s">
        <v>291</v>
      </c>
      <c r="G25" s="460"/>
      <c r="H25" s="460"/>
      <c r="I25" s="461"/>
      <c r="J25" s="462"/>
      <c r="K25" s="463"/>
      <c r="L25" s="464"/>
      <c r="M25" s="460"/>
      <c r="N25" s="440"/>
      <c r="O25" s="479"/>
      <c r="P25" s="479"/>
      <c r="Q25" s="479"/>
      <c r="R25" s="532"/>
      <c r="S25" s="421"/>
    </row>
    <row r="26" spans="1:19">
      <c r="A26" s="508">
        <v>19</v>
      </c>
      <c r="B26" s="10" t="s">
        <v>292</v>
      </c>
      <c r="C26" s="502" t="s">
        <v>99</v>
      </c>
      <c r="D26" s="502" t="s">
        <v>100</v>
      </c>
      <c r="E26" s="502" t="s">
        <v>101</v>
      </c>
      <c r="F26" s="502" t="s">
        <v>102</v>
      </c>
      <c r="G26" s="443">
        <v>44670</v>
      </c>
      <c r="H26" s="444">
        <v>44703</v>
      </c>
      <c r="I26" s="445" t="s">
        <v>220</v>
      </c>
      <c r="J26" s="279">
        <v>44765</v>
      </c>
      <c r="K26" s="446">
        <f t="shared" ref="K26:K49" si="2">J26+30</f>
        <v>44795</v>
      </c>
      <c r="L26" s="443"/>
      <c r="M26" s="443"/>
      <c r="N26" s="440"/>
      <c r="O26" s="468">
        <v>60</v>
      </c>
      <c r="P26" s="468">
        <v>15</v>
      </c>
      <c r="Q26" s="468">
        <v>33</v>
      </c>
      <c r="R26" s="469">
        <f>10000/P26/Q26</f>
        <v>20.202020202020201</v>
      </c>
      <c r="S26" s="443"/>
    </row>
    <row r="27" spans="1:19">
      <c r="A27" s="508">
        <v>20</v>
      </c>
      <c r="B27" s="10"/>
      <c r="C27" s="502" t="s">
        <v>99</v>
      </c>
      <c r="D27" s="502" t="s">
        <v>103</v>
      </c>
      <c r="E27" s="502" t="s">
        <v>104</v>
      </c>
      <c r="F27" s="502" t="s">
        <v>105</v>
      </c>
      <c r="G27" s="443">
        <v>44671</v>
      </c>
      <c r="H27" s="444">
        <v>44700</v>
      </c>
      <c r="I27" s="445" t="s">
        <v>220</v>
      </c>
      <c r="J27" s="279">
        <v>44763</v>
      </c>
      <c r="K27" s="447">
        <f t="shared" si="2"/>
        <v>44793</v>
      </c>
      <c r="L27" s="443"/>
      <c r="M27" s="443"/>
      <c r="N27" s="440"/>
      <c r="O27" s="468">
        <v>60</v>
      </c>
      <c r="P27" s="468">
        <v>13</v>
      </c>
      <c r="Q27" s="468">
        <v>33</v>
      </c>
      <c r="R27" s="469">
        <f>10000/P27/Q27</f>
        <v>23.310023310023311</v>
      </c>
      <c r="S27" s="443"/>
    </row>
    <row r="28" spans="1:19">
      <c r="A28" s="508">
        <v>21</v>
      </c>
      <c r="B28" s="10"/>
      <c r="C28" s="502" t="s">
        <v>106</v>
      </c>
      <c r="D28" s="502" t="s">
        <v>255</v>
      </c>
      <c r="E28" s="502" t="s">
        <v>293</v>
      </c>
      <c r="F28" s="502" t="s">
        <v>257</v>
      </c>
      <c r="G28" s="443">
        <v>44668</v>
      </c>
      <c r="H28" s="444">
        <v>44701</v>
      </c>
      <c r="I28" s="445" t="s">
        <v>220</v>
      </c>
      <c r="J28" s="279">
        <v>44764</v>
      </c>
      <c r="K28" s="448">
        <f t="shared" si="2"/>
        <v>44794</v>
      </c>
      <c r="L28" s="443"/>
      <c r="M28" s="443"/>
      <c r="N28" s="440"/>
      <c r="O28" s="468">
        <v>60</v>
      </c>
      <c r="P28" s="468">
        <v>14</v>
      </c>
      <c r="Q28" s="468">
        <v>33</v>
      </c>
      <c r="R28" s="469">
        <f>10000/P28/Q28</f>
        <v>21.645021645021647</v>
      </c>
      <c r="S28" s="443"/>
    </row>
    <row r="29" spans="1:19">
      <c r="A29" s="508">
        <v>22</v>
      </c>
      <c r="B29" s="10"/>
      <c r="C29" s="503" t="s">
        <v>110</v>
      </c>
      <c r="D29" s="503" t="s">
        <v>111</v>
      </c>
      <c r="E29" s="503" t="s">
        <v>216</v>
      </c>
      <c r="F29" s="503" t="s">
        <v>217</v>
      </c>
      <c r="G29" s="110">
        <v>44672</v>
      </c>
      <c r="H29" s="72">
        <v>44704</v>
      </c>
      <c r="I29" s="176" t="s">
        <v>154</v>
      </c>
      <c r="J29" s="282">
        <v>44769</v>
      </c>
      <c r="K29" s="186">
        <f t="shared" si="2"/>
        <v>44799</v>
      </c>
      <c r="L29" s="201"/>
      <c r="M29" s="110"/>
      <c r="N29" s="440"/>
      <c r="O29" s="472"/>
      <c r="P29" s="472"/>
      <c r="Q29" s="472"/>
      <c r="R29" s="480"/>
      <c r="S29" s="466"/>
    </row>
    <row r="30" spans="1:19">
      <c r="A30" s="508">
        <v>23</v>
      </c>
      <c r="B30" s="10"/>
      <c r="C30" s="503" t="s">
        <v>110</v>
      </c>
      <c r="D30" s="503" t="s">
        <v>115</v>
      </c>
      <c r="E30" s="503" t="s">
        <v>116</v>
      </c>
      <c r="F30" s="503" t="s">
        <v>115</v>
      </c>
      <c r="G30" s="110">
        <v>44673</v>
      </c>
      <c r="H30" s="72">
        <v>44706</v>
      </c>
      <c r="I30" s="176" t="s">
        <v>154</v>
      </c>
      <c r="J30" s="279">
        <v>44762</v>
      </c>
      <c r="K30" s="196">
        <f t="shared" si="2"/>
        <v>44792</v>
      </c>
      <c r="L30" s="201"/>
      <c r="M30" s="110"/>
      <c r="N30" s="440"/>
      <c r="O30" s="473"/>
      <c r="P30" s="473"/>
      <c r="Q30" s="473"/>
      <c r="R30" s="481"/>
      <c r="S30" s="421"/>
    </row>
    <row r="31" spans="1:19">
      <c r="A31" s="508">
        <v>24</v>
      </c>
      <c r="B31" s="10"/>
      <c r="C31" s="502" t="s">
        <v>118</v>
      </c>
      <c r="D31" s="502" t="s">
        <v>119</v>
      </c>
      <c r="E31" s="502" t="s">
        <v>120</v>
      </c>
      <c r="F31" s="502" t="s">
        <v>121</v>
      </c>
      <c r="G31" s="443">
        <v>44665</v>
      </c>
      <c r="H31" s="444">
        <v>44700</v>
      </c>
      <c r="I31" s="445" t="s">
        <v>154</v>
      </c>
      <c r="J31" s="279">
        <v>44769</v>
      </c>
      <c r="K31" s="449">
        <f t="shared" si="2"/>
        <v>44799</v>
      </c>
      <c r="L31" s="443"/>
      <c r="M31" s="443"/>
      <c r="N31" s="440"/>
      <c r="O31" s="468">
        <v>60</v>
      </c>
      <c r="P31" s="468">
        <v>15</v>
      </c>
      <c r="Q31" s="468">
        <v>33</v>
      </c>
      <c r="R31" s="469">
        <f>10000/P31/Q31</f>
        <v>20.202020202020201</v>
      </c>
      <c r="S31" s="443"/>
    </row>
    <row r="32" spans="1:19">
      <c r="A32" s="508">
        <v>25</v>
      </c>
      <c r="B32" s="10"/>
      <c r="C32" s="503" t="s">
        <v>122</v>
      </c>
      <c r="D32" s="503" t="s">
        <v>123</v>
      </c>
      <c r="E32" s="503" t="s">
        <v>124</v>
      </c>
      <c r="F32" s="503" t="s">
        <v>125</v>
      </c>
      <c r="G32" s="110">
        <v>44668</v>
      </c>
      <c r="H32" s="72">
        <v>44698</v>
      </c>
      <c r="I32" s="465" t="s">
        <v>154</v>
      </c>
      <c r="J32" s="279">
        <v>44772</v>
      </c>
      <c r="K32" s="199">
        <f t="shared" si="2"/>
        <v>44802</v>
      </c>
      <c r="L32" s="201"/>
      <c r="M32" s="110"/>
      <c r="N32" s="440"/>
      <c r="O32" s="472"/>
      <c r="P32" s="472"/>
      <c r="Q32" s="472"/>
      <c r="R32" s="480"/>
      <c r="S32" s="466"/>
    </row>
    <row r="33" spans="1:19">
      <c r="A33" s="508">
        <v>26</v>
      </c>
      <c r="B33" s="10"/>
      <c r="C33" s="503" t="s">
        <v>127</v>
      </c>
      <c r="D33" s="503" t="s">
        <v>128</v>
      </c>
      <c r="E33" s="503" t="s">
        <v>129</v>
      </c>
      <c r="F33" s="503" t="s">
        <v>239</v>
      </c>
      <c r="G33" s="110">
        <v>44674</v>
      </c>
      <c r="H33" s="72">
        <v>44706</v>
      </c>
      <c r="I33" s="176" t="s">
        <v>154</v>
      </c>
      <c r="J33" s="279">
        <v>44767</v>
      </c>
      <c r="K33" s="200">
        <f t="shared" si="2"/>
        <v>44797</v>
      </c>
      <c r="L33" s="201"/>
      <c r="M33" s="110"/>
      <c r="N33" s="440"/>
      <c r="O33" s="473"/>
      <c r="P33" s="473"/>
      <c r="Q33" s="473"/>
      <c r="R33" s="481"/>
      <c r="S33" s="421"/>
    </row>
    <row r="34" spans="1:19">
      <c r="A34" s="508">
        <v>27</v>
      </c>
      <c r="B34" s="10"/>
      <c r="C34" s="502" t="s">
        <v>131</v>
      </c>
      <c r="D34" s="502" t="s">
        <v>132</v>
      </c>
      <c r="E34" s="502" t="s">
        <v>218</v>
      </c>
      <c r="F34" s="502" t="s">
        <v>134</v>
      </c>
      <c r="G34" s="450">
        <v>44668</v>
      </c>
      <c r="H34" s="444">
        <v>44698</v>
      </c>
      <c r="I34" s="445" t="s">
        <v>249</v>
      </c>
      <c r="J34" s="279">
        <v>44769</v>
      </c>
      <c r="K34" s="448">
        <f t="shared" si="2"/>
        <v>44799</v>
      </c>
      <c r="L34" s="443"/>
      <c r="M34" s="443"/>
      <c r="N34" s="440"/>
      <c r="O34" s="468">
        <v>60</v>
      </c>
      <c r="P34" s="468">
        <v>14</v>
      </c>
      <c r="Q34" s="468">
        <v>30</v>
      </c>
      <c r="R34" s="469">
        <f>10000/P34/Q34</f>
        <v>23.80952380952381</v>
      </c>
      <c r="S34" s="443"/>
    </row>
    <row r="35" spans="1:19">
      <c r="A35" s="508">
        <v>28</v>
      </c>
      <c r="B35" s="10"/>
      <c r="C35" s="503" t="s">
        <v>136</v>
      </c>
      <c r="D35" s="503" t="s">
        <v>137</v>
      </c>
      <c r="E35" s="503" t="s">
        <v>138</v>
      </c>
      <c r="F35" s="503" t="s">
        <v>139</v>
      </c>
      <c r="G35" s="110">
        <v>44667</v>
      </c>
      <c r="H35" s="72">
        <v>44698</v>
      </c>
      <c r="I35" s="176" t="s">
        <v>220</v>
      </c>
      <c r="J35" s="279">
        <v>44762</v>
      </c>
      <c r="K35" s="199">
        <f t="shared" si="2"/>
        <v>44792</v>
      </c>
      <c r="L35" s="201"/>
      <c r="M35" s="110"/>
      <c r="N35" s="440"/>
      <c r="O35" s="474"/>
      <c r="P35" s="474"/>
      <c r="Q35" s="474"/>
      <c r="R35" s="482"/>
      <c r="S35" s="422"/>
    </row>
    <row r="36" spans="1:19">
      <c r="A36" s="508">
        <v>29</v>
      </c>
      <c r="B36" s="10"/>
      <c r="C36" s="502" t="s">
        <v>141</v>
      </c>
      <c r="D36" s="502" t="s">
        <v>142</v>
      </c>
      <c r="E36" s="502" t="s">
        <v>294</v>
      </c>
      <c r="F36" s="502" t="s">
        <v>144</v>
      </c>
      <c r="G36" s="443">
        <v>44675</v>
      </c>
      <c r="H36" s="444">
        <v>44709</v>
      </c>
      <c r="I36" s="445" t="s">
        <v>154</v>
      </c>
      <c r="J36" s="279">
        <v>44766</v>
      </c>
      <c r="K36" s="449">
        <f t="shared" si="2"/>
        <v>44796</v>
      </c>
      <c r="L36" s="443"/>
      <c r="M36" s="443"/>
      <c r="N36" s="440"/>
      <c r="O36" s="468">
        <v>60</v>
      </c>
      <c r="P36" s="468">
        <v>14.5</v>
      </c>
      <c r="Q36" s="468">
        <v>33</v>
      </c>
      <c r="R36" s="469">
        <f>10000/P36/Q36</f>
        <v>20.898641588296762</v>
      </c>
      <c r="S36" s="443"/>
    </row>
    <row r="37" spans="1:19">
      <c r="A37" s="5">
        <v>30</v>
      </c>
      <c r="B37" s="512"/>
      <c r="C37" s="504" t="s">
        <v>141</v>
      </c>
      <c r="D37" s="504" t="s">
        <v>146</v>
      </c>
      <c r="E37" s="536" t="s">
        <v>147</v>
      </c>
      <c r="F37" s="504" t="s">
        <v>148</v>
      </c>
      <c r="G37" s="118">
        <v>44667</v>
      </c>
      <c r="H37" s="76">
        <v>44703</v>
      </c>
      <c r="I37" s="183" t="s">
        <v>154</v>
      </c>
      <c r="J37" s="281">
        <v>44765</v>
      </c>
      <c r="K37" s="197">
        <f t="shared" si="2"/>
        <v>44795</v>
      </c>
      <c r="L37" s="202"/>
      <c r="M37" s="118"/>
      <c r="N37" s="440"/>
      <c r="O37" s="475"/>
      <c r="P37" s="475"/>
      <c r="Q37" s="475"/>
      <c r="R37" s="483"/>
      <c r="S37" s="423"/>
    </row>
    <row r="38" spans="1:19">
      <c r="A38" s="509">
        <v>31</v>
      </c>
      <c r="B38" s="9" t="s">
        <v>149</v>
      </c>
      <c r="C38" s="458" t="s">
        <v>150</v>
      </c>
      <c r="D38" s="401" t="s">
        <v>151</v>
      </c>
      <c r="E38" s="414" t="s">
        <v>152</v>
      </c>
      <c r="F38" s="401" t="s">
        <v>153</v>
      </c>
      <c r="G38" s="25">
        <v>44666</v>
      </c>
      <c r="H38" s="25">
        <v>44699</v>
      </c>
      <c r="I38" s="26" t="s">
        <v>220</v>
      </c>
      <c r="J38" s="278">
        <v>44776</v>
      </c>
      <c r="K38" s="198">
        <f t="shared" si="2"/>
        <v>44806</v>
      </c>
      <c r="L38" s="206"/>
      <c r="M38" s="214"/>
      <c r="N38" s="440"/>
      <c r="O38" s="470"/>
      <c r="P38" s="470"/>
      <c r="Q38" s="470"/>
      <c r="R38" s="484"/>
      <c r="S38" s="467"/>
    </row>
    <row r="39" spans="1:19">
      <c r="A39" s="508">
        <v>32</v>
      </c>
      <c r="B39" s="513" t="s">
        <v>85</v>
      </c>
      <c r="C39" s="506" t="s">
        <v>150</v>
      </c>
      <c r="D39" s="503" t="s">
        <v>155</v>
      </c>
      <c r="E39" s="413" t="s">
        <v>156</v>
      </c>
      <c r="F39" s="503" t="s">
        <v>157</v>
      </c>
      <c r="G39" s="27">
        <v>44665</v>
      </c>
      <c r="H39" s="27">
        <v>44700</v>
      </c>
      <c r="I39" s="14" t="s">
        <v>220</v>
      </c>
      <c r="J39" s="283">
        <v>44767</v>
      </c>
      <c r="K39" s="197">
        <f t="shared" si="2"/>
        <v>44797</v>
      </c>
      <c r="L39" s="202"/>
      <c r="M39" s="118"/>
      <c r="N39" s="440"/>
      <c r="O39" s="476"/>
      <c r="P39" s="476"/>
      <c r="Q39" s="476"/>
      <c r="R39" s="485"/>
      <c r="S39" s="425"/>
    </row>
    <row r="40" spans="1:19">
      <c r="A40" s="420">
        <v>33</v>
      </c>
      <c r="B40" s="9" t="s">
        <v>158</v>
      </c>
      <c r="C40" s="505" t="s">
        <v>159</v>
      </c>
      <c r="D40" s="505" t="s">
        <v>160</v>
      </c>
      <c r="E40" s="505" t="s">
        <v>161</v>
      </c>
      <c r="F40" s="505" t="s">
        <v>162</v>
      </c>
      <c r="G40" s="451">
        <v>44663</v>
      </c>
      <c r="H40" s="451">
        <v>44694</v>
      </c>
      <c r="I40" s="452" t="s">
        <v>154</v>
      </c>
      <c r="J40" s="522">
        <v>44765</v>
      </c>
      <c r="K40" s="453">
        <f t="shared" si="2"/>
        <v>44795</v>
      </c>
      <c r="L40" s="454"/>
      <c r="M40" s="454"/>
      <c r="N40" s="440"/>
      <c r="O40" s="477">
        <v>60</v>
      </c>
      <c r="P40" s="477">
        <v>14</v>
      </c>
      <c r="Q40" s="477">
        <v>33</v>
      </c>
      <c r="R40" s="486">
        <f>10000/P40/Q40</f>
        <v>21.645021645021647</v>
      </c>
      <c r="S40" s="454"/>
    </row>
    <row r="41" spans="1:19">
      <c r="A41" s="508">
        <v>34</v>
      </c>
      <c r="B41" s="514"/>
      <c r="C41" s="506" t="s">
        <v>164</v>
      </c>
      <c r="D41" s="506" t="s">
        <v>165</v>
      </c>
      <c r="E41" s="506" t="s">
        <v>166</v>
      </c>
      <c r="F41" s="412" t="s">
        <v>167</v>
      </c>
      <c r="G41" s="62">
        <v>44669</v>
      </c>
      <c r="H41" s="62">
        <v>44699</v>
      </c>
      <c r="I41" s="63" t="s">
        <v>154</v>
      </c>
      <c r="J41" s="275">
        <v>44762</v>
      </c>
      <c r="K41" s="21">
        <f t="shared" si="2"/>
        <v>44792</v>
      </c>
      <c r="L41" s="201"/>
      <c r="M41" s="110"/>
      <c r="N41" s="440"/>
      <c r="O41" s="472"/>
      <c r="P41" s="472"/>
      <c r="Q41" s="472"/>
      <c r="R41" s="480"/>
      <c r="S41" s="466"/>
    </row>
    <row r="42" spans="1:19">
      <c r="A42" s="508">
        <v>35</v>
      </c>
      <c r="B42" s="514" t="s">
        <v>168</v>
      </c>
      <c r="C42" s="503" t="s">
        <v>169</v>
      </c>
      <c r="D42" s="503" t="s">
        <v>170</v>
      </c>
      <c r="E42" s="503" t="s">
        <v>171</v>
      </c>
      <c r="F42" s="503" t="s">
        <v>172</v>
      </c>
      <c r="G42" s="19">
        <v>44670</v>
      </c>
      <c r="H42" s="19">
        <v>44700</v>
      </c>
      <c r="I42" s="63" t="s">
        <v>154</v>
      </c>
      <c r="J42" s="275">
        <v>44768</v>
      </c>
      <c r="K42" s="21">
        <f t="shared" si="2"/>
        <v>44798</v>
      </c>
      <c r="L42" s="201"/>
      <c r="M42" s="110"/>
      <c r="N42" s="440"/>
      <c r="O42" s="471"/>
      <c r="P42" s="471"/>
      <c r="Q42" s="471"/>
      <c r="R42" s="487"/>
      <c r="S42" s="424"/>
    </row>
    <row r="43" spans="1:19">
      <c r="A43" s="508">
        <v>36</v>
      </c>
      <c r="B43" s="514"/>
      <c r="C43" s="503" t="s">
        <v>169</v>
      </c>
      <c r="D43" s="503" t="s">
        <v>173</v>
      </c>
      <c r="E43" s="503" t="s">
        <v>174</v>
      </c>
      <c r="F43" s="506" t="s">
        <v>175</v>
      </c>
      <c r="G43" s="19">
        <v>44672</v>
      </c>
      <c r="H43" s="19">
        <v>44710</v>
      </c>
      <c r="I43" s="63" t="s">
        <v>154</v>
      </c>
      <c r="J43" s="275">
        <v>44768</v>
      </c>
      <c r="K43" s="21">
        <f t="shared" si="2"/>
        <v>44798</v>
      </c>
      <c r="L43" s="201"/>
      <c r="M43" s="110"/>
      <c r="N43" s="440"/>
      <c r="O43" s="471"/>
      <c r="P43" s="471"/>
      <c r="Q43" s="471"/>
      <c r="R43" s="487"/>
      <c r="S43" s="424"/>
    </row>
    <row r="44" spans="1:19">
      <c r="A44" s="508">
        <v>37</v>
      </c>
      <c r="B44" s="515"/>
      <c r="C44" s="503" t="s">
        <v>176</v>
      </c>
      <c r="D44" s="503" t="s">
        <v>177</v>
      </c>
      <c r="E44" s="503" t="s">
        <v>178</v>
      </c>
      <c r="F44" s="503" t="s">
        <v>179</v>
      </c>
      <c r="G44" s="19">
        <v>44669</v>
      </c>
      <c r="H44" s="19">
        <v>44699</v>
      </c>
      <c r="I44" s="20" t="s">
        <v>220</v>
      </c>
      <c r="J44" s="275">
        <v>44768</v>
      </c>
      <c r="K44" s="21">
        <f t="shared" si="2"/>
        <v>44798</v>
      </c>
      <c r="L44" s="201"/>
      <c r="M44" s="110"/>
      <c r="N44" s="440"/>
      <c r="O44" s="471"/>
      <c r="P44" s="471"/>
      <c r="Q44" s="471"/>
      <c r="R44" s="487"/>
      <c r="S44" s="424"/>
    </row>
    <row r="45" spans="1:19">
      <c r="A45" s="508">
        <v>38</v>
      </c>
      <c r="B45" s="514"/>
      <c r="C45" s="503" t="s">
        <v>295</v>
      </c>
      <c r="D45" s="503" t="s">
        <v>181</v>
      </c>
      <c r="E45" s="503" t="s">
        <v>182</v>
      </c>
      <c r="F45" s="503" t="s">
        <v>183</v>
      </c>
      <c r="G45" s="19">
        <v>44670</v>
      </c>
      <c r="H45" s="19">
        <v>44699</v>
      </c>
      <c r="I45" s="20" t="s">
        <v>220</v>
      </c>
      <c r="J45" s="275">
        <v>44766</v>
      </c>
      <c r="K45" s="21">
        <f t="shared" si="2"/>
        <v>44796</v>
      </c>
      <c r="L45" s="201"/>
      <c r="M45" s="110"/>
      <c r="N45" s="440"/>
      <c r="O45" s="473"/>
      <c r="P45" s="473"/>
      <c r="Q45" s="473"/>
      <c r="R45" s="481"/>
      <c r="S45" s="421"/>
    </row>
    <row r="46" spans="1:19">
      <c r="A46" s="508">
        <v>39</v>
      </c>
      <c r="B46" s="514"/>
      <c r="C46" s="502" t="s">
        <v>296</v>
      </c>
      <c r="D46" s="502" t="s">
        <v>186</v>
      </c>
      <c r="E46" s="502" t="s">
        <v>187</v>
      </c>
      <c r="F46" s="502" t="s">
        <v>188</v>
      </c>
      <c r="G46" s="455">
        <v>44667</v>
      </c>
      <c r="H46" s="455">
        <v>44697</v>
      </c>
      <c r="I46" s="456" t="s">
        <v>220</v>
      </c>
      <c r="J46" s="275">
        <v>44760</v>
      </c>
      <c r="K46" s="457">
        <f t="shared" si="2"/>
        <v>44790</v>
      </c>
      <c r="L46" s="443"/>
      <c r="M46" s="443"/>
      <c r="N46" s="440"/>
      <c r="O46" s="468">
        <v>60</v>
      </c>
      <c r="P46" s="468">
        <v>15</v>
      </c>
      <c r="Q46" s="468">
        <v>33</v>
      </c>
      <c r="R46" s="469">
        <f>10000/P46/Q46</f>
        <v>20.202020202020201</v>
      </c>
      <c r="S46" s="443"/>
    </row>
    <row r="47" spans="1:19">
      <c r="A47" s="508">
        <v>40</v>
      </c>
      <c r="B47" s="514"/>
      <c r="C47" s="503" t="s">
        <v>189</v>
      </c>
      <c r="D47" s="503" t="s">
        <v>190</v>
      </c>
      <c r="E47" s="506" t="s">
        <v>191</v>
      </c>
      <c r="F47" s="503" t="s">
        <v>192</v>
      </c>
      <c r="G47" s="19">
        <v>44664</v>
      </c>
      <c r="H47" s="19">
        <v>44696</v>
      </c>
      <c r="I47" s="20" t="s">
        <v>220</v>
      </c>
      <c r="J47" s="288">
        <v>44764</v>
      </c>
      <c r="K47" s="21">
        <f t="shared" si="2"/>
        <v>44794</v>
      </c>
      <c r="L47" s="201"/>
      <c r="M47" s="110"/>
      <c r="N47" s="440"/>
      <c r="O47" s="472"/>
      <c r="P47" s="472"/>
      <c r="Q47" s="472"/>
      <c r="R47" s="472"/>
      <c r="S47" s="466"/>
    </row>
    <row r="48" spans="1:19">
      <c r="A48" s="508">
        <v>41</v>
      </c>
      <c r="B48" s="514"/>
      <c r="C48" s="503" t="s">
        <v>193</v>
      </c>
      <c r="D48" s="503" t="s">
        <v>194</v>
      </c>
      <c r="E48" s="503" t="s">
        <v>195</v>
      </c>
      <c r="F48" s="503" t="s">
        <v>196</v>
      </c>
      <c r="G48" s="19">
        <v>44670</v>
      </c>
      <c r="H48" s="19">
        <v>44704</v>
      </c>
      <c r="I48" s="20" t="s">
        <v>258</v>
      </c>
      <c r="J48" s="288">
        <v>44768</v>
      </c>
      <c r="K48" s="21">
        <f t="shared" si="2"/>
        <v>44798</v>
      </c>
      <c r="L48" s="201"/>
      <c r="M48" s="110"/>
      <c r="N48" s="440"/>
      <c r="O48" s="471"/>
      <c r="P48" s="471"/>
      <c r="Q48" s="471"/>
      <c r="R48" s="471"/>
      <c r="S48" s="424"/>
    </row>
    <row r="49" spans="1:19">
      <c r="A49" s="510">
        <v>42</v>
      </c>
      <c r="B49" s="516"/>
      <c r="C49" s="396" t="s">
        <v>197</v>
      </c>
      <c r="D49" s="396" t="s">
        <v>198</v>
      </c>
      <c r="E49" s="396" t="s">
        <v>199</v>
      </c>
      <c r="F49" s="396" t="s">
        <v>200</v>
      </c>
      <c r="G49" s="22">
        <v>44667</v>
      </c>
      <c r="H49" s="22">
        <v>44700</v>
      </c>
      <c r="I49" s="14" t="s">
        <v>154</v>
      </c>
      <c r="J49" s="289">
        <v>44769</v>
      </c>
      <c r="K49" s="23">
        <f t="shared" si="2"/>
        <v>44799</v>
      </c>
      <c r="L49" s="202"/>
      <c r="M49" s="118"/>
      <c r="N49" s="440"/>
      <c r="O49" s="476"/>
      <c r="P49" s="476"/>
      <c r="Q49" s="476"/>
      <c r="R49" s="476"/>
      <c r="S49" s="425"/>
    </row>
    <row r="50" spans="1:19">
      <c r="A50" s="524" t="s">
        <v>242</v>
      </c>
      <c r="B50" s="533"/>
      <c r="J50" s="12" t="s">
        <v>297</v>
      </c>
      <c r="O50" s="1"/>
      <c r="P50" s="12" t="s">
        <v>297</v>
      </c>
      <c r="Q50" s="12" t="s">
        <v>297</v>
      </c>
      <c r="R50" s="1"/>
    </row>
    <row r="51" spans="1:19">
      <c r="C51" s="534"/>
      <c r="D51" s="523" t="s">
        <v>298</v>
      </c>
      <c r="J51" s="316" t="s">
        <v>299</v>
      </c>
      <c r="P51" s="316" t="s">
        <v>299</v>
      </c>
      <c r="Q51" s="316" t="s">
        <v>299</v>
      </c>
    </row>
  </sheetData>
  <mergeCells count="22">
    <mergeCell ref="S10:S11"/>
    <mergeCell ref="O3:R3"/>
    <mergeCell ref="S3:S6"/>
    <mergeCell ref="A3:F3"/>
    <mergeCell ref="A4:A6"/>
    <mergeCell ref="B4:B6"/>
    <mergeCell ref="C4:C6"/>
    <mergeCell ref="D4:D6"/>
    <mergeCell ref="E4:E6"/>
    <mergeCell ref="F4:F6"/>
    <mergeCell ref="Q4:Q6"/>
    <mergeCell ref="M5:M6"/>
    <mergeCell ref="M3:M4"/>
    <mergeCell ref="G5:G6"/>
    <mergeCell ref="H5:H6"/>
    <mergeCell ref="I5:I6"/>
    <mergeCell ref="J5:J6"/>
    <mergeCell ref="K5:K6"/>
    <mergeCell ref="L5:L6"/>
    <mergeCell ref="R4:R6"/>
    <mergeCell ref="P4:P6"/>
    <mergeCell ref="O4:O6"/>
  </mergeCells>
  <phoneticPr fontId="1"/>
  <pageMargins left="0.7" right="0.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DD6B-3A1E-45BE-88CB-8993AD739B18}">
  <dimension ref="A1:O46"/>
  <sheetViews>
    <sheetView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2"/>
    </sheetView>
  </sheetViews>
  <sheetFormatPr baseColWidth="10" defaultColWidth="9" defaultRowHeight="14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7" width="9.5" style="1" bestFit="1" customWidth="1"/>
    <col min="8" max="8" width="12.5" style="1" bestFit="1" customWidth="1"/>
    <col min="9" max="9" width="13.5" style="1" bestFit="1" customWidth="1"/>
    <col min="10" max="10" width="9.5" style="1" customWidth="1"/>
    <col min="11" max="11" width="10.5" style="1" customWidth="1"/>
    <col min="12" max="12" width="9.5" style="28" bestFit="1" customWidth="1"/>
    <col min="13" max="13" width="36.5" style="28" customWidth="1"/>
    <col min="14" max="16384" width="9" style="1"/>
  </cols>
  <sheetData>
    <row r="1" spans="1:15" ht="20.25" customHeight="1">
      <c r="A1" s="1" t="s">
        <v>300</v>
      </c>
    </row>
    <row r="2" spans="1:15" ht="20.25" customHeight="1">
      <c r="A2" s="1" t="s">
        <v>244</v>
      </c>
      <c r="F2" s="2"/>
      <c r="H2" s="6"/>
    </row>
    <row r="3" spans="1:15" ht="20.25" customHeight="1">
      <c r="A3" s="78"/>
      <c r="J3" s="2"/>
      <c r="O3" s="12"/>
    </row>
    <row r="4" spans="1:15" ht="20.25" customHeight="1">
      <c r="A4" s="867" t="s">
        <v>16</v>
      </c>
      <c r="B4" s="870" t="s">
        <v>17</v>
      </c>
      <c r="C4" s="873" t="s">
        <v>18</v>
      </c>
      <c r="D4" s="873" t="s">
        <v>19</v>
      </c>
      <c r="E4" s="813" t="s">
        <v>20</v>
      </c>
      <c r="F4" s="874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3" t="s">
        <v>261</v>
      </c>
      <c r="L4" s="862" t="s">
        <v>262</v>
      </c>
      <c r="M4" s="862" t="s">
        <v>5</v>
      </c>
    </row>
    <row r="5" spans="1:15" ht="20.25" customHeight="1">
      <c r="A5" s="868"/>
      <c r="B5" s="871"/>
      <c r="C5" s="814"/>
      <c r="D5" s="814"/>
      <c r="E5" s="814"/>
      <c r="F5" s="875"/>
      <c r="G5" s="291"/>
      <c r="H5" s="291"/>
      <c r="I5" s="291" t="s">
        <v>22</v>
      </c>
      <c r="J5" s="10"/>
      <c r="K5" s="864"/>
      <c r="L5" s="866"/>
      <c r="M5" s="850"/>
    </row>
    <row r="6" spans="1:15" ht="20.25" customHeight="1">
      <c r="A6" s="869"/>
      <c r="B6" s="872"/>
      <c r="C6" s="815"/>
      <c r="D6" s="815"/>
      <c r="E6" s="815"/>
      <c r="F6" s="876"/>
      <c r="G6" s="7" t="s">
        <v>23</v>
      </c>
      <c r="H6" s="7" t="s">
        <v>23</v>
      </c>
      <c r="I6" s="8" t="s">
        <v>24</v>
      </c>
      <c r="J6" s="11" t="s">
        <v>23</v>
      </c>
      <c r="K6" s="865"/>
      <c r="L6" s="194" t="s">
        <v>268</v>
      </c>
      <c r="M6" s="851"/>
    </row>
    <row r="7" spans="1:15">
      <c r="A7" s="150">
        <v>1</v>
      </c>
      <c r="B7" s="218" t="s">
        <v>26</v>
      </c>
      <c r="C7" s="219" t="s">
        <v>27</v>
      </c>
      <c r="D7" s="219" t="s">
        <v>28</v>
      </c>
      <c r="E7" s="219" t="s">
        <v>29</v>
      </c>
      <c r="F7" s="272" t="s">
        <v>30</v>
      </c>
      <c r="G7" s="80">
        <v>44302</v>
      </c>
      <c r="H7" s="80">
        <v>44336</v>
      </c>
      <c r="I7" s="124" t="s">
        <v>246</v>
      </c>
      <c r="J7" s="274">
        <v>44401</v>
      </c>
      <c r="K7" s="195">
        <f>J7+30</f>
        <v>44431</v>
      </c>
      <c r="L7" s="206"/>
      <c r="M7" s="214" t="s">
        <v>301</v>
      </c>
    </row>
    <row r="8" spans="1:15">
      <c r="A8" s="157">
        <v>2</v>
      </c>
      <c r="B8" s="220" t="s">
        <v>32</v>
      </c>
      <c r="C8" s="221" t="s">
        <v>230</v>
      </c>
      <c r="D8" s="221" t="s">
        <v>34</v>
      </c>
      <c r="E8" s="221" t="s">
        <v>247</v>
      </c>
      <c r="F8" s="222" t="s">
        <v>231</v>
      </c>
      <c r="G8" s="72">
        <v>44307</v>
      </c>
      <c r="H8" s="72">
        <v>44341</v>
      </c>
      <c r="I8" s="135" t="s">
        <v>246</v>
      </c>
      <c r="J8" s="275">
        <v>44405</v>
      </c>
      <c r="K8" s="196">
        <f t="shared" ref="K8:K46" si="0">J8+30</f>
        <v>44435</v>
      </c>
      <c r="L8" s="201"/>
      <c r="M8" s="110"/>
    </row>
    <row r="9" spans="1:15">
      <c r="A9" s="164">
        <v>3</v>
      </c>
      <c r="B9" s="223"/>
      <c r="C9" s="224" t="s">
        <v>37</v>
      </c>
      <c r="D9" s="224" t="s">
        <v>38</v>
      </c>
      <c r="E9" s="224" t="s">
        <v>39</v>
      </c>
      <c r="F9" s="225" t="s">
        <v>40</v>
      </c>
      <c r="G9" s="76">
        <v>44314</v>
      </c>
      <c r="H9" s="76" t="s">
        <v>302</v>
      </c>
      <c r="I9" s="141" t="s">
        <v>184</v>
      </c>
      <c r="J9" s="276">
        <v>44399</v>
      </c>
      <c r="K9" s="197">
        <f t="shared" si="0"/>
        <v>44429</v>
      </c>
      <c r="L9" s="202"/>
      <c r="M9" s="118"/>
    </row>
    <row r="10" spans="1:15">
      <c r="A10" s="150">
        <v>4</v>
      </c>
      <c r="B10" s="226" t="s">
        <v>41</v>
      </c>
      <c r="C10" s="227" t="s">
        <v>42</v>
      </c>
      <c r="D10" s="227" t="s">
        <v>43</v>
      </c>
      <c r="E10" s="227" t="s">
        <v>44</v>
      </c>
      <c r="F10" s="228" t="s">
        <v>45</v>
      </c>
      <c r="G10" s="156">
        <v>44309</v>
      </c>
      <c r="H10" s="156">
        <v>44339</v>
      </c>
      <c r="I10" s="145" t="s">
        <v>258</v>
      </c>
      <c r="J10" s="275">
        <v>44397</v>
      </c>
      <c r="K10" s="196">
        <f t="shared" si="0"/>
        <v>44427</v>
      </c>
      <c r="L10" s="203"/>
      <c r="M10" s="215"/>
    </row>
    <row r="11" spans="1:15">
      <c r="A11" s="157">
        <v>5</v>
      </c>
      <c r="B11" s="229" t="s">
        <v>32</v>
      </c>
      <c r="C11" s="230" t="s">
        <v>47</v>
      </c>
      <c r="D11" s="230" t="s">
        <v>48</v>
      </c>
      <c r="E11" s="230" t="s">
        <v>49</v>
      </c>
      <c r="F11" s="231" t="s">
        <v>50</v>
      </c>
      <c r="G11" s="163">
        <v>44304</v>
      </c>
      <c r="H11" s="163">
        <v>44333</v>
      </c>
      <c r="I11" s="144" t="s">
        <v>249</v>
      </c>
      <c r="J11" s="275">
        <v>44400</v>
      </c>
      <c r="K11" s="196">
        <f t="shared" si="0"/>
        <v>44430</v>
      </c>
      <c r="L11" s="204"/>
      <c r="M11" s="216"/>
    </row>
    <row r="12" spans="1:15">
      <c r="A12" s="164">
        <v>6</v>
      </c>
      <c r="B12" s="232"/>
      <c r="C12" s="233" t="s">
        <v>47</v>
      </c>
      <c r="D12" s="233" t="s">
        <v>52</v>
      </c>
      <c r="E12" s="233" t="s">
        <v>53</v>
      </c>
      <c r="F12" s="234" t="s">
        <v>54</v>
      </c>
      <c r="G12" s="170">
        <v>44309</v>
      </c>
      <c r="H12" s="170">
        <v>44336</v>
      </c>
      <c r="I12" s="146" t="s">
        <v>249</v>
      </c>
      <c r="J12" s="276">
        <v>44401</v>
      </c>
      <c r="K12" s="197">
        <f t="shared" si="0"/>
        <v>44431</v>
      </c>
      <c r="L12" s="205"/>
      <c r="M12" s="217"/>
    </row>
    <row r="13" spans="1:15">
      <c r="A13" s="97">
        <v>7</v>
      </c>
      <c r="B13" s="235" t="s">
        <v>55</v>
      </c>
      <c r="C13" s="236" t="s">
        <v>56</v>
      </c>
      <c r="D13" s="236" t="s">
        <v>57</v>
      </c>
      <c r="E13" s="236" t="s">
        <v>58</v>
      </c>
      <c r="F13" s="237" t="s">
        <v>59</v>
      </c>
      <c r="G13" s="103">
        <v>44314</v>
      </c>
      <c r="H13" s="80">
        <v>44335</v>
      </c>
      <c r="I13" s="145" t="s">
        <v>250</v>
      </c>
      <c r="J13" s="274">
        <v>44405</v>
      </c>
      <c r="K13" s="198">
        <f t="shared" si="0"/>
        <v>44435</v>
      </c>
      <c r="L13" s="206"/>
      <c r="M13" s="214"/>
    </row>
    <row r="14" spans="1:15">
      <c r="A14" s="104">
        <v>8</v>
      </c>
      <c r="B14" s="238" t="s">
        <v>60</v>
      </c>
      <c r="C14" s="239" t="s">
        <v>274</v>
      </c>
      <c r="D14" s="239" t="s">
        <v>303</v>
      </c>
      <c r="E14" s="239" t="s">
        <v>304</v>
      </c>
      <c r="F14" s="240" t="s">
        <v>277</v>
      </c>
      <c r="G14" s="110">
        <v>44314</v>
      </c>
      <c r="H14" s="72">
        <v>44341</v>
      </c>
      <c r="I14" s="273" t="s">
        <v>305</v>
      </c>
      <c r="J14" s="275">
        <v>44405</v>
      </c>
      <c r="K14" s="196">
        <f t="shared" si="0"/>
        <v>44435</v>
      </c>
      <c r="L14" s="201"/>
      <c r="M14" s="110"/>
    </row>
    <row r="15" spans="1:15">
      <c r="A15" s="104">
        <v>9</v>
      </c>
      <c r="B15" s="238"/>
      <c r="C15" s="239" t="s">
        <v>62</v>
      </c>
      <c r="D15" s="239" t="s">
        <v>63</v>
      </c>
      <c r="E15" s="239" t="s">
        <v>306</v>
      </c>
      <c r="F15" s="240" t="s">
        <v>65</v>
      </c>
      <c r="G15" s="110">
        <v>44304</v>
      </c>
      <c r="H15" s="72">
        <v>44331</v>
      </c>
      <c r="I15" s="144" t="s">
        <v>258</v>
      </c>
      <c r="J15" s="275">
        <v>44405</v>
      </c>
      <c r="K15" s="196">
        <f t="shared" si="0"/>
        <v>44435</v>
      </c>
      <c r="L15" s="201"/>
      <c r="M15" s="110"/>
    </row>
    <row r="16" spans="1:15">
      <c r="A16" s="104">
        <v>10</v>
      </c>
      <c r="B16" s="238"/>
      <c r="C16" s="239" t="s">
        <v>67</v>
      </c>
      <c r="D16" s="239" t="s">
        <v>68</v>
      </c>
      <c r="E16" s="239" t="s">
        <v>278</v>
      </c>
      <c r="F16" s="240" t="s">
        <v>70</v>
      </c>
      <c r="G16" s="110">
        <v>44303</v>
      </c>
      <c r="H16" s="72">
        <v>44339</v>
      </c>
      <c r="I16" s="144" t="s">
        <v>253</v>
      </c>
      <c r="J16" s="275">
        <v>44402</v>
      </c>
      <c r="K16" s="196">
        <f t="shared" si="0"/>
        <v>44432</v>
      </c>
      <c r="L16" s="201"/>
      <c r="M16" s="110"/>
    </row>
    <row r="17" spans="1:13">
      <c r="A17" s="104">
        <v>11</v>
      </c>
      <c r="B17" s="238"/>
      <c r="C17" s="239" t="s">
        <v>71</v>
      </c>
      <c r="D17" s="239" t="s">
        <v>72</v>
      </c>
      <c r="E17" s="239" t="s">
        <v>279</v>
      </c>
      <c r="F17" s="240" t="s">
        <v>74</v>
      </c>
      <c r="G17" s="110">
        <v>44304</v>
      </c>
      <c r="H17" s="110">
        <v>44336</v>
      </c>
      <c r="I17" s="20" t="s">
        <v>235</v>
      </c>
      <c r="J17" s="275">
        <v>44404</v>
      </c>
      <c r="K17" s="196">
        <f t="shared" si="0"/>
        <v>44434</v>
      </c>
      <c r="L17" s="201"/>
      <c r="M17" s="110" t="s">
        <v>307</v>
      </c>
    </row>
    <row r="18" spans="1:13">
      <c r="A18" s="112">
        <v>12</v>
      </c>
      <c r="B18" s="241"/>
      <c r="C18" s="242" t="s">
        <v>75</v>
      </c>
      <c r="D18" s="242" t="s">
        <v>76</v>
      </c>
      <c r="E18" s="242" t="s">
        <v>77</v>
      </c>
      <c r="F18" s="243" t="s">
        <v>78</v>
      </c>
      <c r="G18" s="118">
        <v>44303</v>
      </c>
      <c r="H18" s="76">
        <v>44339</v>
      </c>
      <c r="I18" s="146" t="s">
        <v>184</v>
      </c>
      <c r="J18" s="275">
        <v>44399</v>
      </c>
      <c r="K18" s="197">
        <f t="shared" si="0"/>
        <v>44429</v>
      </c>
      <c r="L18" s="202"/>
      <c r="M18" s="118"/>
    </row>
    <row r="19" spans="1:13">
      <c r="A19" s="82">
        <v>13</v>
      </c>
      <c r="B19" s="244" t="s">
        <v>79</v>
      </c>
      <c r="C19" s="245" t="s">
        <v>80</v>
      </c>
      <c r="D19" s="245" t="s">
        <v>81</v>
      </c>
      <c r="E19" s="245" t="s">
        <v>308</v>
      </c>
      <c r="F19" s="246" t="s">
        <v>83</v>
      </c>
      <c r="G19" s="88">
        <v>44303</v>
      </c>
      <c r="H19" s="89">
        <v>44336</v>
      </c>
      <c r="I19" s="145" t="s">
        <v>220</v>
      </c>
      <c r="J19" s="274">
        <v>44399</v>
      </c>
      <c r="K19" s="198">
        <f t="shared" si="0"/>
        <v>44429</v>
      </c>
      <c r="L19" s="206"/>
      <c r="M19" s="214"/>
    </row>
    <row r="20" spans="1:13">
      <c r="A20" s="90">
        <v>14</v>
      </c>
      <c r="B20" s="247" t="s">
        <v>309</v>
      </c>
      <c r="C20" s="248" t="s">
        <v>86</v>
      </c>
      <c r="D20" s="248" t="s">
        <v>87</v>
      </c>
      <c r="E20" s="248" t="s">
        <v>281</v>
      </c>
      <c r="F20" s="249" t="s">
        <v>89</v>
      </c>
      <c r="G20" s="96">
        <v>44301</v>
      </c>
      <c r="H20" s="96">
        <v>44340</v>
      </c>
      <c r="I20" s="146" t="s">
        <v>254</v>
      </c>
      <c r="J20" s="277">
        <v>44402</v>
      </c>
      <c r="K20" s="200">
        <f t="shared" si="0"/>
        <v>44432</v>
      </c>
      <c r="L20" s="202"/>
      <c r="M20" s="118"/>
    </row>
    <row r="21" spans="1:13">
      <c r="A21" s="70">
        <v>15</v>
      </c>
      <c r="B21" s="250" t="s">
        <v>90</v>
      </c>
      <c r="C21" s="251" t="s">
        <v>91</v>
      </c>
      <c r="D21" s="251" t="s">
        <v>92</v>
      </c>
      <c r="E21" s="251" t="s">
        <v>93</v>
      </c>
      <c r="F21" s="252" t="s">
        <v>94</v>
      </c>
      <c r="G21" s="80">
        <v>44306</v>
      </c>
      <c r="H21" s="80">
        <v>44336</v>
      </c>
      <c r="I21" s="174" t="s">
        <v>254</v>
      </c>
      <c r="J21" s="278">
        <v>44401</v>
      </c>
      <c r="K21" s="187">
        <f t="shared" si="0"/>
        <v>44431</v>
      </c>
      <c r="L21" s="206"/>
      <c r="M21" s="214"/>
    </row>
    <row r="22" spans="1:13">
      <c r="A22" s="71">
        <v>16</v>
      </c>
      <c r="B22" s="253" t="s">
        <v>98</v>
      </c>
      <c r="C22" s="254" t="s">
        <v>91</v>
      </c>
      <c r="D22" s="254" t="s">
        <v>95</v>
      </c>
      <c r="E22" s="255" t="s">
        <v>96</v>
      </c>
      <c r="F22" s="256" t="s">
        <v>97</v>
      </c>
      <c r="G22" s="72">
        <v>44304</v>
      </c>
      <c r="H22" s="72">
        <v>44333</v>
      </c>
      <c r="I22" s="176" t="s">
        <v>254</v>
      </c>
      <c r="J22" s="279">
        <v>44401</v>
      </c>
      <c r="K22" s="186">
        <f t="shared" si="0"/>
        <v>44431</v>
      </c>
      <c r="L22" s="201"/>
      <c r="M22" s="110"/>
    </row>
    <row r="23" spans="1:13">
      <c r="A23" s="71">
        <v>17</v>
      </c>
      <c r="B23" s="253"/>
      <c r="C23" s="254" t="s">
        <v>310</v>
      </c>
      <c r="D23" s="254" t="s">
        <v>100</v>
      </c>
      <c r="E23" s="257" t="s">
        <v>101</v>
      </c>
      <c r="F23" s="256" t="s">
        <v>102</v>
      </c>
      <c r="G23" s="72">
        <v>44305</v>
      </c>
      <c r="H23" s="72">
        <v>44338</v>
      </c>
      <c r="I23" s="176" t="s">
        <v>220</v>
      </c>
      <c r="J23" s="280">
        <v>44397</v>
      </c>
      <c r="K23" s="199">
        <f t="shared" si="0"/>
        <v>44427</v>
      </c>
      <c r="L23" s="201"/>
      <c r="M23" s="110"/>
    </row>
    <row r="24" spans="1:13">
      <c r="A24" s="71">
        <v>18</v>
      </c>
      <c r="B24" s="253"/>
      <c r="C24" s="254" t="s">
        <v>310</v>
      </c>
      <c r="D24" s="254" t="s">
        <v>311</v>
      </c>
      <c r="E24" s="258" t="s">
        <v>104</v>
      </c>
      <c r="F24" s="256" t="s">
        <v>105</v>
      </c>
      <c r="G24" s="72">
        <v>44306</v>
      </c>
      <c r="H24" s="72">
        <v>44335</v>
      </c>
      <c r="I24" s="176" t="s">
        <v>220</v>
      </c>
      <c r="J24" s="281">
        <v>44397</v>
      </c>
      <c r="K24" s="200">
        <f t="shared" si="0"/>
        <v>44427</v>
      </c>
      <c r="L24" s="201"/>
      <c r="M24" s="110"/>
    </row>
    <row r="25" spans="1:13">
      <c r="A25" s="71">
        <v>19</v>
      </c>
      <c r="B25" s="253"/>
      <c r="C25" s="254" t="s">
        <v>312</v>
      </c>
      <c r="D25" s="254" t="s">
        <v>255</v>
      </c>
      <c r="E25" s="254" t="s">
        <v>293</v>
      </c>
      <c r="F25" s="256" t="s">
        <v>257</v>
      </c>
      <c r="G25" s="72">
        <v>44305</v>
      </c>
      <c r="H25" s="72">
        <v>44336</v>
      </c>
      <c r="I25" s="176" t="s">
        <v>220</v>
      </c>
      <c r="J25" s="279">
        <v>44401</v>
      </c>
      <c r="K25" s="186">
        <f t="shared" si="0"/>
        <v>44431</v>
      </c>
      <c r="L25" s="201"/>
      <c r="M25" s="110"/>
    </row>
    <row r="26" spans="1:13">
      <c r="A26" s="71">
        <v>20</v>
      </c>
      <c r="B26" s="253"/>
      <c r="C26" s="257" t="s">
        <v>313</v>
      </c>
      <c r="D26" s="257" t="s">
        <v>111</v>
      </c>
      <c r="E26" s="257" t="s">
        <v>216</v>
      </c>
      <c r="F26" s="259" t="s">
        <v>217</v>
      </c>
      <c r="G26" s="72">
        <v>44308</v>
      </c>
      <c r="H26" s="72">
        <v>44339</v>
      </c>
      <c r="I26" s="176" t="s">
        <v>154</v>
      </c>
      <c r="J26" s="282">
        <v>44398</v>
      </c>
      <c r="K26" s="186">
        <f t="shared" si="0"/>
        <v>44428</v>
      </c>
      <c r="L26" s="201"/>
      <c r="M26" s="110"/>
    </row>
    <row r="27" spans="1:13">
      <c r="A27" s="71">
        <v>21</v>
      </c>
      <c r="B27" s="253"/>
      <c r="C27" s="257" t="s">
        <v>313</v>
      </c>
      <c r="D27" s="257" t="s">
        <v>115</v>
      </c>
      <c r="E27" s="257" t="s">
        <v>116</v>
      </c>
      <c r="F27" s="259" t="s">
        <v>115</v>
      </c>
      <c r="G27" s="72">
        <v>44312</v>
      </c>
      <c r="H27" s="72">
        <v>44345</v>
      </c>
      <c r="I27" s="176" t="s">
        <v>154</v>
      </c>
      <c r="J27" s="279">
        <v>44402</v>
      </c>
      <c r="K27" s="196">
        <f t="shared" si="0"/>
        <v>44432</v>
      </c>
      <c r="L27" s="201"/>
      <c r="M27" s="110"/>
    </row>
    <row r="28" spans="1:13">
      <c r="A28" s="71">
        <v>22</v>
      </c>
      <c r="B28" s="253"/>
      <c r="C28" s="254" t="s">
        <v>314</v>
      </c>
      <c r="D28" s="254" t="s">
        <v>119</v>
      </c>
      <c r="E28" s="254" t="s">
        <v>120</v>
      </c>
      <c r="F28" s="256" t="s">
        <v>121</v>
      </c>
      <c r="G28" s="72">
        <v>44301</v>
      </c>
      <c r="H28" s="72">
        <v>44336</v>
      </c>
      <c r="I28" s="176" t="s">
        <v>154</v>
      </c>
      <c r="J28" s="279">
        <v>44399</v>
      </c>
      <c r="K28" s="196">
        <f t="shared" si="0"/>
        <v>44429</v>
      </c>
      <c r="L28" s="201"/>
      <c r="M28" s="110"/>
    </row>
    <row r="29" spans="1:13">
      <c r="A29" s="71">
        <v>23</v>
      </c>
      <c r="B29" s="253"/>
      <c r="C29" s="254" t="s">
        <v>315</v>
      </c>
      <c r="D29" s="254" t="s">
        <v>123</v>
      </c>
      <c r="E29" s="269" t="s">
        <v>124</v>
      </c>
      <c r="F29" s="270" t="s">
        <v>125</v>
      </c>
      <c r="G29" s="72">
        <v>44304</v>
      </c>
      <c r="H29" s="72">
        <v>44337</v>
      </c>
      <c r="I29" s="271" t="s">
        <v>154</v>
      </c>
      <c r="J29" s="280">
        <v>44401</v>
      </c>
      <c r="K29" s="199">
        <f t="shared" si="0"/>
        <v>44431</v>
      </c>
      <c r="L29" s="201"/>
      <c r="M29" s="110"/>
    </row>
    <row r="30" spans="1:13">
      <c r="A30" s="71">
        <v>24</v>
      </c>
      <c r="B30" s="253"/>
      <c r="C30" s="254" t="s">
        <v>316</v>
      </c>
      <c r="D30" s="254" t="s">
        <v>128</v>
      </c>
      <c r="E30" s="254" t="s">
        <v>129</v>
      </c>
      <c r="F30" s="256" t="s">
        <v>239</v>
      </c>
      <c r="G30" s="72">
        <v>44309</v>
      </c>
      <c r="H30" s="72">
        <v>44340</v>
      </c>
      <c r="I30" s="176" t="s">
        <v>154</v>
      </c>
      <c r="J30" s="281">
        <v>44400</v>
      </c>
      <c r="K30" s="200">
        <f t="shared" si="0"/>
        <v>44430</v>
      </c>
      <c r="L30" s="201"/>
      <c r="M30" s="110"/>
    </row>
    <row r="31" spans="1:13">
      <c r="A31" s="71">
        <v>25</v>
      </c>
      <c r="B31" s="253"/>
      <c r="C31" s="254" t="s">
        <v>317</v>
      </c>
      <c r="D31" s="254" t="s">
        <v>132</v>
      </c>
      <c r="E31" s="254" t="s">
        <v>218</v>
      </c>
      <c r="F31" s="256" t="s">
        <v>134</v>
      </c>
      <c r="G31" s="213">
        <v>44303</v>
      </c>
      <c r="H31" s="72">
        <v>44333</v>
      </c>
      <c r="I31" s="176" t="s">
        <v>249</v>
      </c>
      <c r="J31" s="279">
        <v>44401</v>
      </c>
      <c r="K31" s="186">
        <f t="shared" si="0"/>
        <v>44431</v>
      </c>
      <c r="L31" s="201"/>
      <c r="M31" s="110"/>
    </row>
    <row r="32" spans="1:13">
      <c r="A32" s="71">
        <v>26</v>
      </c>
      <c r="B32" s="253"/>
      <c r="C32" s="254" t="s">
        <v>318</v>
      </c>
      <c r="D32" s="254" t="s">
        <v>137</v>
      </c>
      <c r="E32" s="269" t="s">
        <v>138</v>
      </c>
      <c r="F32" s="270" t="s">
        <v>139</v>
      </c>
      <c r="G32" s="72">
        <v>44299</v>
      </c>
      <c r="H32" s="72">
        <v>44333</v>
      </c>
      <c r="I32" s="176" t="s">
        <v>220</v>
      </c>
      <c r="J32" s="280">
        <v>44400</v>
      </c>
      <c r="K32" s="199">
        <f t="shared" si="0"/>
        <v>44430</v>
      </c>
      <c r="L32" s="201"/>
      <c r="M32" s="110"/>
    </row>
    <row r="33" spans="1:13">
      <c r="A33" s="71">
        <v>27</v>
      </c>
      <c r="B33" s="253"/>
      <c r="C33" s="254" t="s">
        <v>141</v>
      </c>
      <c r="D33" s="254" t="s">
        <v>142</v>
      </c>
      <c r="E33" s="254" t="s">
        <v>294</v>
      </c>
      <c r="F33" s="256" t="s">
        <v>144</v>
      </c>
      <c r="G33" s="72">
        <v>44301</v>
      </c>
      <c r="H33" s="72">
        <v>44334</v>
      </c>
      <c r="I33" s="176" t="s">
        <v>154</v>
      </c>
      <c r="J33" s="279">
        <v>44397</v>
      </c>
      <c r="K33" s="196">
        <f t="shared" si="0"/>
        <v>44427</v>
      </c>
      <c r="L33" s="201"/>
      <c r="M33" s="110"/>
    </row>
    <row r="34" spans="1:13">
      <c r="A34" s="74">
        <v>28</v>
      </c>
      <c r="B34" s="260"/>
      <c r="C34" s="261" t="s">
        <v>141</v>
      </c>
      <c r="D34" s="261" t="s">
        <v>146</v>
      </c>
      <c r="E34" s="248" t="s">
        <v>319</v>
      </c>
      <c r="F34" s="262" t="s">
        <v>148</v>
      </c>
      <c r="G34" s="76">
        <v>44307</v>
      </c>
      <c r="H34" s="76">
        <v>44337</v>
      </c>
      <c r="I34" s="183" t="s">
        <v>154</v>
      </c>
      <c r="J34" s="283">
        <v>44396</v>
      </c>
      <c r="K34" s="197">
        <f t="shared" si="0"/>
        <v>44426</v>
      </c>
      <c r="L34" s="202"/>
      <c r="M34" s="118"/>
    </row>
    <row r="35" spans="1:13">
      <c r="A35" s="4">
        <v>29</v>
      </c>
      <c r="B35" s="250" t="s">
        <v>149</v>
      </c>
      <c r="C35" s="251" t="s">
        <v>320</v>
      </c>
      <c r="D35" s="251" t="s">
        <v>151</v>
      </c>
      <c r="E35" s="251" t="s">
        <v>152</v>
      </c>
      <c r="F35" s="263" t="s">
        <v>153</v>
      </c>
      <c r="G35" s="25">
        <v>44299</v>
      </c>
      <c r="H35" s="25">
        <v>44331</v>
      </c>
      <c r="I35" s="26" t="s">
        <v>220</v>
      </c>
      <c r="J35" s="284">
        <v>44398</v>
      </c>
      <c r="K35" s="198">
        <f t="shared" si="0"/>
        <v>44428</v>
      </c>
      <c r="L35" s="206"/>
      <c r="M35" s="214"/>
    </row>
    <row r="36" spans="1:13">
      <c r="A36" s="5">
        <v>30</v>
      </c>
      <c r="B36" s="260" t="s">
        <v>85</v>
      </c>
      <c r="C36" s="261" t="s">
        <v>321</v>
      </c>
      <c r="D36" s="261" t="s">
        <v>322</v>
      </c>
      <c r="E36" s="261" t="s">
        <v>156</v>
      </c>
      <c r="F36" s="264" t="s">
        <v>323</v>
      </c>
      <c r="G36" s="27">
        <v>44301</v>
      </c>
      <c r="H36" s="27">
        <v>44334</v>
      </c>
      <c r="I36" s="14" t="s">
        <v>220</v>
      </c>
      <c r="J36" s="285">
        <v>44401</v>
      </c>
      <c r="K36" s="197">
        <f t="shared" si="0"/>
        <v>44431</v>
      </c>
      <c r="L36" s="202"/>
      <c r="M36" s="118"/>
    </row>
    <row r="37" spans="1:13">
      <c r="A37" s="70">
        <v>31</v>
      </c>
      <c r="B37" s="250" t="s">
        <v>158</v>
      </c>
      <c r="C37" s="251" t="s">
        <v>324</v>
      </c>
      <c r="D37" s="251" t="s">
        <v>160</v>
      </c>
      <c r="E37" s="251" t="s">
        <v>161</v>
      </c>
      <c r="F37" s="252" t="s">
        <v>162</v>
      </c>
      <c r="G37" s="16">
        <v>44299</v>
      </c>
      <c r="H37" s="16">
        <v>44330</v>
      </c>
      <c r="I37" s="17" t="s">
        <v>154</v>
      </c>
      <c r="J37" s="286">
        <v>44395</v>
      </c>
      <c r="K37" s="18">
        <f t="shared" si="0"/>
        <v>44425</v>
      </c>
      <c r="L37" s="206"/>
      <c r="M37" s="214"/>
    </row>
    <row r="38" spans="1:13">
      <c r="A38" s="3">
        <v>32</v>
      </c>
      <c r="B38" s="253"/>
      <c r="C38" s="265" t="s">
        <v>325</v>
      </c>
      <c r="D38" s="265" t="s">
        <v>165</v>
      </c>
      <c r="E38" s="265" t="s">
        <v>326</v>
      </c>
      <c r="F38" s="266" t="s">
        <v>167</v>
      </c>
      <c r="G38" s="62">
        <v>44299</v>
      </c>
      <c r="H38" s="62">
        <v>44331</v>
      </c>
      <c r="I38" s="63" t="s">
        <v>154</v>
      </c>
      <c r="J38" s="287">
        <v>44395</v>
      </c>
      <c r="K38" s="21">
        <f t="shared" si="0"/>
        <v>44425</v>
      </c>
      <c r="L38" s="201"/>
      <c r="M38" s="110"/>
    </row>
    <row r="39" spans="1:13">
      <c r="A39" s="3">
        <v>33</v>
      </c>
      <c r="B39" s="253" t="s">
        <v>168</v>
      </c>
      <c r="C39" s="254" t="s">
        <v>327</v>
      </c>
      <c r="D39" s="254" t="s">
        <v>170</v>
      </c>
      <c r="E39" s="254" t="s">
        <v>171</v>
      </c>
      <c r="F39" s="256" t="s">
        <v>172</v>
      </c>
      <c r="G39" s="19">
        <v>44305</v>
      </c>
      <c r="H39" s="19">
        <v>44336</v>
      </c>
      <c r="I39" s="63" t="s">
        <v>154</v>
      </c>
      <c r="J39" s="288">
        <v>44395</v>
      </c>
      <c r="K39" s="21">
        <f t="shared" si="0"/>
        <v>44425</v>
      </c>
      <c r="L39" s="201"/>
      <c r="M39" s="110"/>
    </row>
    <row r="40" spans="1:13">
      <c r="A40" s="3">
        <v>34</v>
      </c>
      <c r="B40" s="253"/>
      <c r="C40" s="254" t="s">
        <v>327</v>
      </c>
      <c r="D40" s="254" t="s">
        <v>173</v>
      </c>
      <c r="E40" s="269" t="s">
        <v>328</v>
      </c>
      <c r="F40" s="270" t="s">
        <v>329</v>
      </c>
      <c r="G40" s="19">
        <v>44305</v>
      </c>
      <c r="H40" s="19">
        <v>44341</v>
      </c>
      <c r="I40" s="63" t="s">
        <v>154</v>
      </c>
      <c r="J40" s="288">
        <v>44400</v>
      </c>
      <c r="K40" s="21">
        <f t="shared" si="0"/>
        <v>44430</v>
      </c>
      <c r="L40" s="201"/>
      <c r="M40" s="110"/>
    </row>
    <row r="41" spans="1:13">
      <c r="A41" s="3">
        <v>35</v>
      </c>
      <c r="B41" s="267"/>
      <c r="C41" s="257" t="s">
        <v>330</v>
      </c>
      <c r="D41" s="257" t="s">
        <v>177</v>
      </c>
      <c r="E41" s="257" t="s">
        <v>178</v>
      </c>
      <c r="F41" s="259" t="s">
        <v>179</v>
      </c>
      <c r="G41" s="19">
        <v>44304</v>
      </c>
      <c r="H41" s="19">
        <v>44337</v>
      </c>
      <c r="I41" s="20" t="s">
        <v>220</v>
      </c>
      <c r="J41" s="288">
        <v>44397</v>
      </c>
      <c r="K41" s="21">
        <f t="shared" si="0"/>
        <v>44427</v>
      </c>
      <c r="L41" s="201"/>
      <c r="M41" s="110"/>
    </row>
    <row r="42" spans="1:13">
      <c r="A42" s="3">
        <v>36</v>
      </c>
      <c r="B42" s="253"/>
      <c r="C42" s="254" t="s">
        <v>180</v>
      </c>
      <c r="D42" s="254" t="s">
        <v>181</v>
      </c>
      <c r="E42" s="268" t="s">
        <v>182</v>
      </c>
      <c r="F42" s="256" t="s">
        <v>331</v>
      </c>
      <c r="G42" s="19">
        <v>44305</v>
      </c>
      <c r="H42" s="19">
        <v>44333</v>
      </c>
      <c r="I42" s="20" t="s">
        <v>220</v>
      </c>
      <c r="J42" s="288">
        <v>44397</v>
      </c>
      <c r="K42" s="21">
        <f t="shared" si="0"/>
        <v>44427</v>
      </c>
      <c r="L42" s="201"/>
      <c r="M42" s="110"/>
    </row>
    <row r="43" spans="1:13">
      <c r="A43" s="3">
        <v>37</v>
      </c>
      <c r="B43" s="253"/>
      <c r="C43" s="254" t="s">
        <v>185</v>
      </c>
      <c r="D43" s="254" t="s">
        <v>186</v>
      </c>
      <c r="E43" s="254" t="s">
        <v>187</v>
      </c>
      <c r="F43" s="256" t="s">
        <v>188</v>
      </c>
      <c r="G43" s="19">
        <v>44301</v>
      </c>
      <c r="H43" s="19">
        <v>44335</v>
      </c>
      <c r="I43" s="20" t="s">
        <v>220</v>
      </c>
      <c r="J43" s="288">
        <v>44397</v>
      </c>
      <c r="K43" s="21">
        <f t="shared" si="0"/>
        <v>44427</v>
      </c>
      <c r="L43" s="201"/>
      <c r="M43" s="110"/>
    </row>
    <row r="44" spans="1:13">
      <c r="A44" s="3">
        <v>38</v>
      </c>
      <c r="B44" s="253"/>
      <c r="C44" s="254" t="s">
        <v>332</v>
      </c>
      <c r="D44" s="254" t="s">
        <v>190</v>
      </c>
      <c r="E44" s="254" t="s">
        <v>333</v>
      </c>
      <c r="F44" s="256" t="s">
        <v>192</v>
      </c>
      <c r="G44" s="19">
        <v>44296</v>
      </c>
      <c r="H44" s="19">
        <v>44331</v>
      </c>
      <c r="I44" s="20" t="s">
        <v>220</v>
      </c>
      <c r="J44" s="288">
        <v>44397</v>
      </c>
      <c r="K44" s="21">
        <f t="shared" si="0"/>
        <v>44427</v>
      </c>
      <c r="L44" s="201"/>
      <c r="M44" s="110"/>
    </row>
    <row r="45" spans="1:13">
      <c r="A45" s="3">
        <v>39</v>
      </c>
      <c r="B45" s="253"/>
      <c r="C45" s="254" t="s">
        <v>334</v>
      </c>
      <c r="D45" s="254" t="s">
        <v>194</v>
      </c>
      <c r="E45" s="254" t="s">
        <v>195</v>
      </c>
      <c r="F45" s="256" t="s">
        <v>196</v>
      </c>
      <c r="G45" s="19">
        <v>44307</v>
      </c>
      <c r="H45" s="19">
        <v>44340</v>
      </c>
      <c r="I45" s="20" t="s">
        <v>258</v>
      </c>
      <c r="J45" s="288">
        <v>44397</v>
      </c>
      <c r="K45" s="21">
        <f t="shared" si="0"/>
        <v>44427</v>
      </c>
      <c r="L45" s="201"/>
      <c r="M45" s="110"/>
    </row>
    <row r="46" spans="1:13">
      <c r="A46" s="67">
        <v>40</v>
      </c>
      <c r="B46" s="260"/>
      <c r="C46" s="248" t="s">
        <v>197</v>
      </c>
      <c r="D46" s="248" t="s">
        <v>198</v>
      </c>
      <c r="E46" s="248" t="s">
        <v>199</v>
      </c>
      <c r="F46" s="249" t="s">
        <v>200</v>
      </c>
      <c r="G46" s="22">
        <v>44303</v>
      </c>
      <c r="H46" s="22">
        <v>44336</v>
      </c>
      <c r="I46" s="14" t="s">
        <v>154</v>
      </c>
      <c r="J46" s="289">
        <v>44397</v>
      </c>
      <c r="K46" s="23">
        <f t="shared" si="0"/>
        <v>44427</v>
      </c>
      <c r="L46" s="202"/>
      <c r="M46" s="118"/>
    </row>
  </sheetData>
  <mergeCells count="9">
    <mergeCell ref="K4:K6"/>
    <mergeCell ref="L4:L5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F7E5-E40A-4CD0-B096-2E02CF3D47A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baseColWidth="10" defaultColWidth="9" defaultRowHeight="14"/>
  <cols>
    <col min="1" max="1" width="3.5" style="1" bestFit="1" customWidth="1"/>
    <col min="2" max="2" width="9" style="1" customWidth="1"/>
    <col min="3" max="3" width="13.5" style="1" bestFit="1" customWidth="1"/>
    <col min="4" max="4" width="10.5" style="1" bestFit="1" customWidth="1"/>
    <col min="5" max="5" width="17.5" style="1" bestFit="1" customWidth="1"/>
    <col min="6" max="6" width="46.5" style="1" bestFit="1" customWidth="1"/>
    <col min="7" max="8" width="8.5" style="1" customWidth="1"/>
    <col min="9" max="9" width="13.5" style="1" bestFit="1" customWidth="1"/>
    <col min="10" max="11" width="8.5" style="1" customWidth="1"/>
    <col min="12" max="12" width="9.5" style="28" bestFit="1" customWidth="1"/>
    <col min="13" max="16384" width="9" style="1"/>
  </cols>
  <sheetData>
    <row r="1" spans="1:15" ht="20.25" customHeight="1">
      <c r="A1" s="1" t="s">
        <v>335</v>
      </c>
    </row>
    <row r="2" spans="1:15" ht="20.25" customHeight="1">
      <c r="A2" s="1" t="s">
        <v>244</v>
      </c>
      <c r="F2" s="2"/>
      <c r="H2" s="6"/>
    </row>
    <row r="3" spans="1:15" ht="20.25" customHeight="1">
      <c r="A3" s="78"/>
      <c r="J3" s="2"/>
      <c r="O3" s="12"/>
    </row>
    <row r="4" spans="1:15" ht="20.25" customHeight="1">
      <c r="A4" s="867" t="s">
        <v>16</v>
      </c>
      <c r="B4" s="870" t="s">
        <v>17</v>
      </c>
      <c r="C4" s="873" t="s">
        <v>18</v>
      </c>
      <c r="D4" s="873" t="s">
        <v>19</v>
      </c>
      <c r="E4" s="813" t="s">
        <v>20</v>
      </c>
      <c r="F4" s="874" t="s">
        <v>21</v>
      </c>
      <c r="G4" s="290" t="s">
        <v>10</v>
      </c>
      <c r="H4" s="290" t="s">
        <v>11</v>
      </c>
      <c r="I4" s="290" t="s">
        <v>12</v>
      </c>
      <c r="J4" s="9" t="s">
        <v>13</v>
      </c>
      <c r="K4" s="863" t="s">
        <v>261</v>
      </c>
      <c r="L4" s="862" t="s">
        <v>262</v>
      </c>
    </row>
    <row r="5" spans="1:15" ht="20.25" customHeight="1">
      <c r="A5" s="868"/>
      <c r="B5" s="871"/>
      <c r="C5" s="814"/>
      <c r="D5" s="814"/>
      <c r="E5" s="814"/>
      <c r="F5" s="875"/>
      <c r="G5" s="291"/>
      <c r="H5" s="291"/>
      <c r="I5" s="291" t="s">
        <v>22</v>
      </c>
      <c r="J5" s="10"/>
      <c r="K5" s="864"/>
      <c r="L5" s="866"/>
    </row>
    <row r="6" spans="1:15" ht="20.25" customHeight="1">
      <c r="A6" s="869"/>
      <c r="B6" s="872"/>
      <c r="C6" s="815"/>
      <c r="D6" s="815"/>
      <c r="E6" s="815"/>
      <c r="F6" s="876"/>
      <c r="G6" s="7" t="s">
        <v>23</v>
      </c>
      <c r="H6" s="7" t="s">
        <v>23</v>
      </c>
      <c r="I6" s="8" t="s">
        <v>24</v>
      </c>
      <c r="J6" s="11" t="s">
        <v>23</v>
      </c>
      <c r="K6" s="865"/>
      <c r="L6" s="194" t="s">
        <v>268</v>
      </c>
    </row>
    <row r="7" spans="1:15">
      <c r="A7" s="150">
        <v>1</v>
      </c>
      <c r="B7" s="119" t="s">
        <v>26</v>
      </c>
      <c r="C7" s="120" t="s">
        <v>27</v>
      </c>
      <c r="D7" s="120" t="s">
        <v>28</v>
      </c>
      <c r="E7" s="120" t="s">
        <v>29</v>
      </c>
      <c r="F7" s="123" t="s">
        <v>30</v>
      </c>
      <c r="G7" s="80"/>
      <c r="H7" s="80"/>
      <c r="I7" s="124"/>
      <c r="J7" s="24"/>
      <c r="K7" s="195">
        <f>J7+30</f>
        <v>30</v>
      </c>
      <c r="L7" s="206"/>
    </row>
    <row r="8" spans="1:15">
      <c r="A8" s="157">
        <v>2</v>
      </c>
      <c r="B8" s="130" t="s">
        <v>32</v>
      </c>
      <c r="C8" s="131" t="s">
        <v>230</v>
      </c>
      <c r="D8" s="131" t="s">
        <v>34</v>
      </c>
      <c r="E8" s="131" t="s">
        <v>247</v>
      </c>
      <c r="F8" s="134" t="s">
        <v>231</v>
      </c>
      <c r="G8" s="72"/>
      <c r="H8" s="72"/>
      <c r="I8" s="135"/>
      <c r="J8" s="147"/>
      <c r="K8" s="196">
        <f t="shared" ref="K8:K46" si="0">J8+30</f>
        <v>30</v>
      </c>
      <c r="L8" s="201"/>
    </row>
    <row r="9" spans="1:15">
      <c r="A9" s="164">
        <v>3</v>
      </c>
      <c r="B9" s="136"/>
      <c r="C9" s="137" t="s">
        <v>37</v>
      </c>
      <c r="D9" s="137" t="s">
        <v>38</v>
      </c>
      <c r="E9" s="137" t="s">
        <v>39</v>
      </c>
      <c r="F9" s="140" t="s">
        <v>40</v>
      </c>
      <c r="G9" s="76"/>
      <c r="H9" s="76"/>
      <c r="I9" s="141"/>
      <c r="J9" s="148"/>
      <c r="K9" s="197">
        <f t="shared" si="0"/>
        <v>30</v>
      </c>
      <c r="L9" s="202"/>
    </row>
    <row r="10" spans="1:15">
      <c r="A10" s="150">
        <v>4</v>
      </c>
      <c r="B10" s="151" t="s">
        <v>41</v>
      </c>
      <c r="C10" s="152" t="s">
        <v>42</v>
      </c>
      <c r="D10" s="152" t="s">
        <v>43</v>
      </c>
      <c r="E10" s="152" t="s">
        <v>44</v>
      </c>
      <c r="F10" s="155" t="s">
        <v>45</v>
      </c>
      <c r="G10" s="156"/>
      <c r="H10" s="156"/>
      <c r="I10" s="145"/>
      <c r="J10" s="147"/>
      <c r="K10" s="196">
        <f t="shared" si="0"/>
        <v>30</v>
      </c>
      <c r="L10" s="203"/>
    </row>
    <row r="11" spans="1:15">
      <c r="A11" s="157">
        <v>5</v>
      </c>
      <c r="B11" s="158" t="s">
        <v>32</v>
      </c>
      <c r="C11" s="159" t="s">
        <v>47</v>
      </c>
      <c r="D11" s="159" t="s">
        <v>48</v>
      </c>
      <c r="E11" s="159" t="s">
        <v>49</v>
      </c>
      <c r="F11" s="162" t="s">
        <v>50</v>
      </c>
      <c r="G11" s="163"/>
      <c r="H11" s="163"/>
      <c r="I11" s="144"/>
      <c r="J11" s="147"/>
      <c r="K11" s="196">
        <f t="shared" si="0"/>
        <v>30</v>
      </c>
      <c r="L11" s="204"/>
    </row>
    <row r="12" spans="1:15">
      <c r="A12" s="164">
        <v>6</v>
      </c>
      <c r="B12" s="165"/>
      <c r="C12" s="166" t="s">
        <v>47</v>
      </c>
      <c r="D12" s="166" t="s">
        <v>52</v>
      </c>
      <c r="E12" s="166" t="s">
        <v>53</v>
      </c>
      <c r="F12" s="169" t="s">
        <v>54</v>
      </c>
      <c r="G12" s="170"/>
      <c r="H12" s="170"/>
      <c r="I12" s="146"/>
      <c r="J12" s="148"/>
      <c r="K12" s="197">
        <f t="shared" si="0"/>
        <v>30</v>
      </c>
      <c r="L12" s="205"/>
    </row>
    <row r="13" spans="1:15">
      <c r="A13" s="97">
        <v>7</v>
      </c>
      <c r="B13" s="98" t="s">
        <v>55</v>
      </c>
      <c r="C13" s="99" t="s">
        <v>56</v>
      </c>
      <c r="D13" s="99" t="s">
        <v>57</v>
      </c>
      <c r="E13" s="99" t="s">
        <v>58</v>
      </c>
      <c r="F13" s="102" t="s">
        <v>59</v>
      </c>
      <c r="G13" s="103"/>
      <c r="H13" s="80"/>
      <c r="I13" s="145"/>
      <c r="J13" s="24"/>
      <c r="K13" s="198">
        <f t="shared" si="0"/>
        <v>30</v>
      </c>
      <c r="L13" s="206"/>
    </row>
    <row r="14" spans="1:15">
      <c r="A14" s="104">
        <v>8</v>
      </c>
      <c r="B14" s="105" t="s">
        <v>60</v>
      </c>
      <c r="C14" s="106" t="s">
        <v>274</v>
      </c>
      <c r="D14" s="106" t="s">
        <v>303</v>
      </c>
      <c r="E14" s="106" t="s">
        <v>304</v>
      </c>
      <c r="F14" s="109" t="s">
        <v>336</v>
      </c>
      <c r="G14" s="110"/>
      <c r="H14" s="72"/>
      <c r="I14" s="144"/>
      <c r="J14" s="147"/>
      <c r="K14" s="196">
        <f t="shared" si="0"/>
        <v>30</v>
      </c>
      <c r="L14" s="201"/>
    </row>
    <row r="15" spans="1:15">
      <c r="A15" s="104">
        <v>9</v>
      </c>
      <c r="B15" s="105"/>
      <c r="C15" s="106" t="s">
        <v>62</v>
      </c>
      <c r="D15" s="106" t="s">
        <v>63</v>
      </c>
      <c r="E15" s="106" t="s">
        <v>306</v>
      </c>
      <c r="F15" s="109" t="s">
        <v>65</v>
      </c>
      <c r="G15" s="110"/>
      <c r="H15" s="72"/>
      <c r="I15" s="144"/>
      <c r="J15" s="147"/>
      <c r="K15" s="196">
        <f t="shared" si="0"/>
        <v>30</v>
      </c>
      <c r="L15" s="201"/>
    </row>
    <row r="16" spans="1:15">
      <c r="A16" s="104">
        <v>10</v>
      </c>
      <c r="B16" s="105"/>
      <c r="C16" s="106" t="s">
        <v>67</v>
      </c>
      <c r="D16" s="106" t="s">
        <v>68</v>
      </c>
      <c r="E16" s="106" t="s">
        <v>278</v>
      </c>
      <c r="F16" s="109" t="s">
        <v>70</v>
      </c>
      <c r="G16" s="110"/>
      <c r="H16" s="72"/>
      <c r="I16" s="144"/>
      <c r="J16" s="147"/>
      <c r="K16" s="196">
        <f t="shared" si="0"/>
        <v>30</v>
      </c>
      <c r="L16" s="201"/>
    </row>
    <row r="17" spans="1:12">
      <c r="A17" s="104">
        <v>11</v>
      </c>
      <c r="B17" s="105"/>
      <c r="C17" s="106" t="s">
        <v>71</v>
      </c>
      <c r="D17" s="106" t="s">
        <v>72</v>
      </c>
      <c r="E17" s="106" t="s">
        <v>279</v>
      </c>
      <c r="F17" s="109" t="s">
        <v>74</v>
      </c>
      <c r="G17" s="110"/>
      <c r="H17" s="110"/>
      <c r="I17" s="20"/>
      <c r="J17" s="147"/>
      <c r="K17" s="196">
        <f t="shared" si="0"/>
        <v>30</v>
      </c>
      <c r="L17" s="201"/>
    </row>
    <row r="18" spans="1:12">
      <c r="A18" s="112">
        <v>12</v>
      </c>
      <c r="B18" s="113"/>
      <c r="C18" s="114" t="s">
        <v>75</v>
      </c>
      <c r="D18" s="114" t="s">
        <v>76</v>
      </c>
      <c r="E18" s="114" t="s">
        <v>77</v>
      </c>
      <c r="F18" s="117" t="s">
        <v>78</v>
      </c>
      <c r="G18" s="118"/>
      <c r="H18" s="76"/>
      <c r="I18" s="146"/>
      <c r="J18" s="147"/>
      <c r="K18" s="197">
        <f t="shared" si="0"/>
        <v>30</v>
      </c>
      <c r="L18" s="202"/>
    </row>
    <row r="19" spans="1:12">
      <c r="A19" s="82">
        <v>13</v>
      </c>
      <c r="B19" s="83" t="s">
        <v>79</v>
      </c>
      <c r="C19" s="84" t="s">
        <v>80</v>
      </c>
      <c r="D19" s="84" t="s">
        <v>81</v>
      </c>
      <c r="E19" s="84" t="s">
        <v>308</v>
      </c>
      <c r="F19" s="87" t="s">
        <v>83</v>
      </c>
      <c r="G19" s="88"/>
      <c r="H19" s="89"/>
      <c r="I19" s="145"/>
      <c r="J19" s="24"/>
      <c r="K19" s="198">
        <f t="shared" si="0"/>
        <v>30</v>
      </c>
      <c r="L19" s="206"/>
    </row>
    <row r="20" spans="1:12">
      <c r="A20" s="90">
        <v>14</v>
      </c>
      <c r="B20" s="91" t="s">
        <v>309</v>
      </c>
      <c r="C20" s="92" t="s">
        <v>86</v>
      </c>
      <c r="D20" s="92" t="s">
        <v>87</v>
      </c>
      <c r="E20" s="92" t="s">
        <v>281</v>
      </c>
      <c r="F20" s="95" t="s">
        <v>89</v>
      </c>
      <c r="G20" s="96"/>
      <c r="H20" s="96"/>
      <c r="I20" s="146"/>
      <c r="J20" s="207"/>
      <c r="K20" s="200">
        <f t="shared" si="0"/>
        <v>30</v>
      </c>
      <c r="L20" s="202"/>
    </row>
    <row r="21" spans="1:12">
      <c r="A21" s="70">
        <v>15</v>
      </c>
      <c r="B21" s="34" t="s">
        <v>90</v>
      </c>
      <c r="C21" s="35" t="s">
        <v>91</v>
      </c>
      <c r="D21" s="35" t="s">
        <v>92</v>
      </c>
      <c r="E21" s="35" t="s">
        <v>93</v>
      </c>
      <c r="F21" s="79" t="s">
        <v>94</v>
      </c>
      <c r="G21" s="80"/>
      <c r="H21" s="80"/>
      <c r="I21" s="174"/>
      <c r="J21" s="208"/>
      <c r="K21" s="187">
        <f t="shared" si="0"/>
        <v>30</v>
      </c>
      <c r="L21" s="206"/>
    </row>
    <row r="22" spans="1:12">
      <c r="A22" s="71">
        <v>16</v>
      </c>
      <c r="B22" s="42" t="s">
        <v>98</v>
      </c>
      <c r="C22" s="43" t="s">
        <v>91</v>
      </c>
      <c r="D22" s="43" t="s">
        <v>95</v>
      </c>
      <c r="E22" s="81" t="s">
        <v>96</v>
      </c>
      <c r="F22" s="45" t="s">
        <v>97</v>
      </c>
      <c r="G22" s="72"/>
      <c r="H22" s="72"/>
      <c r="I22" s="176"/>
      <c r="J22" s="182"/>
      <c r="K22" s="186">
        <f t="shared" si="0"/>
        <v>30</v>
      </c>
      <c r="L22" s="201"/>
    </row>
    <row r="23" spans="1:12">
      <c r="A23" s="71">
        <v>17</v>
      </c>
      <c r="B23" s="42"/>
      <c r="C23" s="43" t="s">
        <v>310</v>
      </c>
      <c r="D23" s="43" t="s">
        <v>100</v>
      </c>
      <c r="E23" s="211" t="s">
        <v>101</v>
      </c>
      <c r="F23" s="45" t="s">
        <v>102</v>
      </c>
      <c r="G23" s="72"/>
      <c r="H23" s="72"/>
      <c r="I23" s="176"/>
      <c r="J23" s="178"/>
      <c r="K23" s="199">
        <f t="shared" si="0"/>
        <v>30</v>
      </c>
      <c r="L23" s="201"/>
    </row>
    <row r="24" spans="1:12">
      <c r="A24" s="71">
        <v>18</v>
      </c>
      <c r="B24" s="42"/>
      <c r="C24" s="43" t="s">
        <v>310</v>
      </c>
      <c r="D24" s="43" t="s">
        <v>311</v>
      </c>
      <c r="E24" s="73" t="s">
        <v>104</v>
      </c>
      <c r="F24" s="45" t="s">
        <v>105</v>
      </c>
      <c r="G24" s="72"/>
      <c r="H24" s="72"/>
      <c r="I24" s="176"/>
      <c r="J24" s="179"/>
      <c r="K24" s="200">
        <f t="shared" si="0"/>
        <v>30</v>
      </c>
      <c r="L24" s="201"/>
    </row>
    <row r="25" spans="1:12">
      <c r="A25" s="71">
        <v>19</v>
      </c>
      <c r="B25" s="42"/>
      <c r="C25" s="43" t="s">
        <v>312</v>
      </c>
      <c r="D25" s="43" t="s">
        <v>255</v>
      </c>
      <c r="E25" s="43" t="s">
        <v>293</v>
      </c>
      <c r="F25" s="45" t="s">
        <v>257</v>
      </c>
      <c r="G25" s="72"/>
      <c r="H25" s="72"/>
      <c r="I25" s="176"/>
      <c r="J25" s="182"/>
      <c r="K25" s="186">
        <f t="shared" si="0"/>
        <v>30</v>
      </c>
      <c r="L25" s="201"/>
    </row>
    <row r="26" spans="1:12">
      <c r="A26" s="71">
        <v>20</v>
      </c>
      <c r="B26" s="42"/>
      <c r="C26" s="211" t="s">
        <v>313</v>
      </c>
      <c r="D26" s="211" t="s">
        <v>111</v>
      </c>
      <c r="E26" s="211" t="s">
        <v>216</v>
      </c>
      <c r="F26" s="212" t="s">
        <v>217</v>
      </c>
      <c r="G26" s="72"/>
      <c r="H26" s="72"/>
      <c r="I26" s="176"/>
      <c r="J26" s="181"/>
      <c r="K26" s="186">
        <f t="shared" si="0"/>
        <v>30</v>
      </c>
      <c r="L26" s="201"/>
    </row>
    <row r="27" spans="1:12">
      <c r="A27" s="71">
        <v>21</v>
      </c>
      <c r="B27" s="42"/>
      <c r="C27" s="211" t="s">
        <v>313</v>
      </c>
      <c r="D27" s="211" t="s">
        <v>115</v>
      </c>
      <c r="E27" s="211" t="s">
        <v>116</v>
      </c>
      <c r="F27" s="212" t="s">
        <v>115</v>
      </c>
      <c r="G27" s="72"/>
      <c r="H27" s="72"/>
      <c r="I27" s="176"/>
      <c r="J27" s="182"/>
      <c r="K27" s="196">
        <f t="shared" si="0"/>
        <v>30</v>
      </c>
      <c r="L27" s="201"/>
    </row>
    <row r="28" spans="1:12">
      <c r="A28" s="71">
        <v>22</v>
      </c>
      <c r="B28" s="42"/>
      <c r="C28" s="43" t="s">
        <v>314</v>
      </c>
      <c r="D28" s="43" t="s">
        <v>119</v>
      </c>
      <c r="E28" s="43" t="s">
        <v>120</v>
      </c>
      <c r="F28" s="45" t="s">
        <v>121</v>
      </c>
      <c r="G28" s="72"/>
      <c r="H28" s="72"/>
      <c r="I28" s="176"/>
      <c r="J28" s="182"/>
      <c r="K28" s="196">
        <f t="shared" si="0"/>
        <v>30</v>
      </c>
      <c r="L28" s="201"/>
    </row>
    <row r="29" spans="1:12">
      <c r="A29" s="71">
        <v>23</v>
      </c>
      <c r="B29" s="42"/>
      <c r="C29" s="43" t="s">
        <v>315</v>
      </c>
      <c r="D29" s="43" t="s">
        <v>123</v>
      </c>
      <c r="E29" s="43" t="s">
        <v>337</v>
      </c>
      <c r="F29" s="45" t="s">
        <v>125</v>
      </c>
      <c r="G29" s="72"/>
      <c r="H29" s="72"/>
      <c r="I29" s="176"/>
      <c r="J29" s="178"/>
      <c r="K29" s="199">
        <f t="shared" si="0"/>
        <v>30</v>
      </c>
      <c r="L29" s="201"/>
    </row>
    <row r="30" spans="1:12">
      <c r="A30" s="71">
        <v>24</v>
      </c>
      <c r="B30" s="42"/>
      <c r="C30" s="43" t="s">
        <v>316</v>
      </c>
      <c r="D30" s="43" t="s">
        <v>128</v>
      </c>
      <c r="E30" s="43" t="s">
        <v>129</v>
      </c>
      <c r="F30" s="45" t="s">
        <v>239</v>
      </c>
      <c r="G30" s="72"/>
      <c r="H30" s="72"/>
      <c r="I30" s="176"/>
      <c r="J30" s="179"/>
      <c r="K30" s="200">
        <f t="shared" si="0"/>
        <v>30</v>
      </c>
      <c r="L30" s="201"/>
    </row>
    <row r="31" spans="1:12">
      <c r="A31" s="71">
        <v>25</v>
      </c>
      <c r="B31" s="42"/>
      <c r="C31" s="43" t="s">
        <v>317</v>
      </c>
      <c r="D31" s="43" t="s">
        <v>132</v>
      </c>
      <c r="E31" s="43" t="s">
        <v>218</v>
      </c>
      <c r="F31" s="45" t="s">
        <v>134</v>
      </c>
      <c r="G31" s="213"/>
      <c r="H31" s="72"/>
      <c r="I31" s="176"/>
      <c r="J31" s="182"/>
      <c r="K31" s="186">
        <f t="shared" si="0"/>
        <v>30</v>
      </c>
      <c r="L31" s="201"/>
    </row>
    <row r="32" spans="1:12">
      <c r="A32" s="71">
        <v>26</v>
      </c>
      <c r="B32" s="42"/>
      <c r="C32" s="43" t="s">
        <v>318</v>
      </c>
      <c r="D32" s="43" t="s">
        <v>137</v>
      </c>
      <c r="E32" s="43" t="s">
        <v>338</v>
      </c>
      <c r="F32" s="45" t="s">
        <v>339</v>
      </c>
      <c r="G32" s="72"/>
      <c r="H32" s="72"/>
      <c r="I32" s="176"/>
      <c r="J32" s="178"/>
      <c r="K32" s="199">
        <f t="shared" si="0"/>
        <v>30</v>
      </c>
      <c r="L32" s="201"/>
    </row>
    <row r="33" spans="1:12">
      <c r="A33" s="71">
        <v>27</v>
      </c>
      <c r="B33" s="42"/>
      <c r="C33" s="43" t="s">
        <v>141</v>
      </c>
      <c r="D33" s="43" t="s">
        <v>142</v>
      </c>
      <c r="E33" s="43" t="s">
        <v>294</v>
      </c>
      <c r="F33" s="45" t="s">
        <v>144</v>
      </c>
      <c r="G33" s="72"/>
      <c r="H33" s="72"/>
      <c r="I33" s="176"/>
      <c r="J33" s="182"/>
      <c r="K33" s="196">
        <f t="shared" si="0"/>
        <v>30</v>
      </c>
      <c r="L33" s="201"/>
    </row>
    <row r="34" spans="1:12">
      <c r="A34" s="74">
        <v>28</v>
      </c>
      <c r="B34" s="37"/>
      <c r="C34" s="38" t="s">
        <v>141</v>
      </c>
      <c r="D34" s="38" t="s">
        <v>146</v>
      </c>
      <c r="E34" s="92" t="s">
        <v>319</v>
      </c>
      <c r="F34" s="75" t="s">
        <v>148</v>
      </c>
      <c r="G34" s="76"/>
      <c r="H34" s="76"/>
      <c r="I34" s="183"/>
      <c r="J34" s="184"/>
      <c r="K34" s="197">
        <f t="shared" si="0"/>
        <v>30</v>
      </c>
      <c r="L34" s="202"/>
    </row>
    <row r="35" spans="1:12">
      <c r="A35" s="4">
        <v>29</v>
      </c>
      <c r="B35" s="34" t="s">
        <v>149</v>
      </c>
      <c r="C35" s="35" t="s">
        <v>320</v>
      </c>
      <c r="D35" s="35" t="s">
        <v>151</v>
      </c>
      <c r="E35" s="35" t="s">
        <v>152</v>
      </c>
      <c r="F35" s="36" t="s">
        <v>153</v>
      </c>
      <c r="G35" s="25"/>
      <c r="H35" s="25"/>
      <c r="I35" s="26"/>
      <c r="J35" s="13"/>
      <c r="K35" s="198">
        <f t="shared" si="0"/>
        <v>30</v>
      </c>
      <c r="L35" s="206"/>
    </row>
    <row r="36" spans="1:12">
      <c r="A36" s="5">
        <v>30</v>
      </c>
      <c r="B36" s="37" t="s">
        <v>85</v>
      </c>
      <c r="C36" s="38" t="s">
        <v>321</v>
      </c>
      <c r="D36" s="38" t="s">
        <v>322</v>
      </c>
      <c r="E36" s="38" t="s">
        <v>156</v>
      </c>
      <c r="F36" s="40" t="s">
        <v>323</v>
      </c>
      <c r="G36" s="27"/>
      <c r="H36" s="27"/>
      <c r="I36" s="14"/>
      <c r="J36" s="15"/>
      <c r="K36" s="197">
        <f t="shared" si="0"/>
        <v>30</v>
      </c>
      <c r="L36" s="202"/>
    </row>
    <row r="37" spans="1:12">
      <c r="A37" s="70">
        <v>31</v>
      </c>
      <c r="B37" s="34" t="s">
        <v>158</v>
      </c>
      <c r="C37" s="35" t="s">
        <v>324</v>
      </c>
      <c r="D37" s="35" t="s">
        <v>160</v>
      </c>
      <c r="E37" s="35" t="s">
        <v>161</v>
      </c>
      <c r="F37" s="79" t="s">
        <v>162</v>
      </c>
      <c r="G37" s="16"/>
      <c r="H37" s="16"/>
      <c r="I37" s="17"/>
      <c r="J37" s="18"/>
      <c r="K37" s="18">
        <f t="shared" si="0"/>
        <v>30</v>
      </c>
      <c r="L37" s="206"/>
    </row>
    <row r="38" spans="1:12">
      <c r="A38" s="3">
        <v>32</v>
      </c>
      <c r="B38" s="42"/>
      <c r="C38" s="209" t="s">
        <v>325</v>
      </c>
      <c r="D38" s="209" t="s">
        <v>165</v>
      </c>
      <c r="E38" s="209" t="s">
        <v>326</v>
      </c>
      <c r="F38" s="210" t="s">
        <v>167</v>
      </c>
      <c r="G38" s="62"/>
      <c r="H38" s="62"/>
      <c r="I38" s="63"/>
      <c r="J38" s="64"/>
      <c r="K38" s="21">
        <f t="shared" si="0"/>
        <v>30</v>
      </c>
      <c r="L38" s="201"/>
    </row>
    <row r="39" spans="1:12">
      <c r="A39" s="3">
        <v>33</v>
      </c>
      <c r="B39" s="42" t="s">
        <v>168</v>
      </c>
      <c r="C39" s="43" t="s">
        <v>327</v>
      </c>
      <c r="D39" s="43" t="s">
        <v>170</v>
      </c>
      <c r="E39" s="43" t="s">
        <v>171</v>
      </c>
      <c r="F39" s="45" t="s">
        <v>172</v>
      </c>
      <c r="G39" s="19"/>
      <c r="H39" s="19"/>
      <c r="I39" s="20"/>
      <c r="J39" s="21"/>
      <c r="K39" s="21">
        <f t="shared" si="0"/>
        <v>30</v>
      </c>
      <c r="L39" s="201"/>
    </row>
    <row r="40" spans="1:12">
      <c r="A40" s="3">
        <v>34</v>
      </c>
      <c r="B40" s="42"/>
      <c r="C40" s="43" t="s">
        <v>327</v>
      </c>
      <c r="D40" s="43" t="s">
        <v>173</v>
      </c>
      <c r="E40" s="43" t="s">
        <v>340</v>
      </c>
      <c r="F40" s="45" t="s">
        <v>341</v>
      </c>
      <c r="G40" s="19"/>
      <c r="H40" s="19"/>
      <c r="I40" s="20"/>
      <c r="J40" s="21"/>
      <c r="K40" s="21">
        <f t="shared" si="0"/>
        <v>30</v>
      </c>
      <c r="L40" s="201"/>
    </row>
    <row r="41" spans="1:12">
      <c r="A41" s="3">
        <v>35</v>
      </c>
      <c r="B41" s="48"/>
      <c r="C41" s="211" t="s">
        <v>330</v>
      </c>
      <c r="D41" s="211" t="s">
        <v>177</v>
      </c>
      <c r="E41" s="211" t="s">
        <v>178</v>
      </c>
      <c r="F41" s="212" t="s">
        <v>179</v>
      </c>
      <c r="G41" s="19"/>
      <c r="H41" s="19"/>
      <c r="I41" s="20"/>
      <c r="J41" s="21"/>
      <c r="K41" s="21">
        <f t="shared" si="0"/>
        <v>30</v>
      </c>
      <c r="L41" s="201"/>
    </row>
    <row r="42" spans="1:12">
      <c r="A42" s="3">
        <v>36</v>
      </c>
      <c r="B42" s="42"/>
      <c r="C42" s="43" t="s">
        <v>180</v>
      </c>
      <c r="D42" s="43" t="s">
        <v>181</v>
      </c>
      <c r="E42" s="49" t="s">
        <v>182</v>
      </c>
      <c r="F42" s="45" t="s">
        <v>331</v>
      </c>
      <c r="G42" s="19"/>
      <c r="H42" s="19"/>
      <c r="I42" s="20"/>
      <c r="J42" s="21"/>
      <c r="K42" s="21">
        <f t="shared" si="0"/>
        <v>30</v>
      </c>
      <c r="L42" s="201"/>
    </row>
    <row r="43" spans="1:12">
      <c r="A43" s="3">
        <v>37</v>
      </c>
      <c r="B43" s="42"/>
      <c r="C43" s="43" t="s">
        <v>185</v>
      </c>
      <c r="D43" s="43" t="s">
        <v>186</v>
      </c>
      <c r="E43" s="43" t="s">
        <v>187</v>
      </c>
      <c r="F43" s="45" t="s">
        <v>188</v>
      </c>
      <c r="G43" s="19"/>
      <c r="H43" s="19"/>
      <c r="I43" s="20"/>
      <c r="J43" s="21"/>
      <c r="K43" s="21">
        <f t="shared" si="0"/>
        <v>30</v>
      </c>
      <c r="L43" s="201"/>
    </row>
    <row r="44" spans="1:12">
      <c r="A44" s="3">
        <v>38</v>
      </c>
      <c r="B44" s="42"/>
      <c r="C44" s="43" t="s">
        <v>332</v>
      </c>
      <c r="D44" s="43" t="s">
        <v>190</v>
      </c>
      <c r="E44" s="43" t="s">
        <v>333</v>
      </c>
      <c r="F44" s="45" t="s">
        <v>192</v>
      </c>
      <c r="G44" s="19"/>
      <c r="H44" s="19"/>
      <c r="I44" s="20"/>
      <c r="J44" s="21"/>
      <c r="K44" s="21">
        <f t="shared" si="0"/>
        <v>30</v>
      </c>
      <c r="L44" s="201"/>
    </row>
    <row r="45" spans="1:12">
      <c r="A45" s="3">
        <v>39</v>
      </c>
      <c r="B45" s="42"/>
      <c r="C45" s="43" t="s">
        <v>334</v>
      </c>
      <c r="D45" s="43" t="s">
        <v>194</v>
      </c>
      <c r="E45" s="43" t="s">
        <v>195</v>
      </c>
      <c r="F45" s="45" t="s">
        <v>196</v>
      </c>
      <c r="G45" s="19"/>
      <c r="H45" s="19"/>
      <c r="I45" s="20"/>
      <c r="J45" s="21"/>
      <c r="K45" s="21">
        <f t="shared" si="0"/>
        <v>30</v>
      </c>
      <c r="L45" s="201"/>
    </row>
    <row r="46" spans="1:12">
      <c r="A46" s="67">
        <v>40</v>
      </c>
      <c r="B46" s="37"/>
      <c r="C46" s="92" t="s">
        <v>197</v>
      </c>
      <c r="D46" s="92" t="s">
        <v>198</v>
      </c>
      <c r="E46" s="92" t="s">
        <v>199</v>
      </c>
      <c r="F46" s="95" t="s">
        <v>200</v>
      </c>
      <c r="G46" s="22"/>
      <c r="H46" s="22"/>
      <c r="I46" s="14"/>
      <c r="J46" s="23"/>
      <c r="K46" s="23">
        <f t="shared" si="0"/>
        <v>30</v>
      </c>
      <c r="L46" s="202"/>
    </row>
  </sheetData>
  <mergeCells count="8">
    <mergeCell ref="F4:F6"/>
    <mergeCell ref="K4:K6"/>
    <mergeCell ref="L4:L5"/>
    <mergeCell ref="A4:A6"/>
    <mergeCell ref="B4:B6"/>
    <mergeCell ref="C4:C6"/>
    <mergeCell ref="D4:D6"/>
    <mergeCell ref="E4:E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zoomScale="80" zoomScaleNormal="80" zoomScaleSheetLayoutView="100" workbookViewId="0">
      <pane xSplit="2" ySplit="6" topLeftCell="C7" activePane="bottomRight" state="frozen"/>
      <selection pane="topRight" activeCell="D24" sqref="D24"/>
      <selection pane="bottomLeft" activeCell="D24" sqref="D24"/>
      <selection pane="bottomRight" activeCell="D24" sqref="D24"/>
    </sheetView>
  </sheetViews>
  <sheetFormatPr baseColWidth="10" defaultColWidth="9" defaultRowHeight="14"/>
  <cols>
    <col min="1" max="1" width="4.5" style="1" customWidth="1"/>
    <col min="2" max="2" width="9" style="1" customWidth="1"/>
    <col min="3" max="3" width="15.5" style="1" customWidth="1"/>
    <col min="4" max="4" width="12.5" style="1" customWidth="1"/>
    <col min="5" max="5" width="28.5" style="1" customWidth="1"/>
    <col min="6" max="6" width="11.5" style="1" customWidth="1"/>
    <col min="7" max="7" width="14.5" style="1" customWidth="1"/>
    <col min="8" max="8" width="44.5" style="1" customWidth="1"/>
    <col min="9" max="9" width="8.5" style="1" customWidth="1"/>
    <col min="10" max="10" width="9" style="1" customWidth="1"/>
    <col min="11" max="12" width="9" style="1"/>
    <col min="13" max="13" width="9" style="1" customWidth="1"/>
    <col min="14" max="14" width="15.5" style="28" customWidth="1"/>
    <col min="15" max="15" width="35.5" style="28" bestFit="1" customWidth="1"/>
    <col min="16" max="16384" width="9" style="1"/>
  </cols>
  <sheetData>
    <row r="1" spans="1:19" ht="20.25" customHeight="1">
      <c r="B1" s="1" t="s">
        <v>342</v>
      </c>
      <c r="H1" s="1" t="s">
        <v>343</v>
      </c>
    </row>
    <row r="2" spans="1:19" ht="20.25" customHeight="1">
      <c r="B2" s="1" t="s">
        <v>244</v>
      </c>
      <c r="H2" s="2"/>
      <c r="J2" s="6"/>
    </row>
    <row r="3" spans="1:19" ht="20.25" customHeight="1">
      <c r="A3" s="78" t="s">
        <v>344</v>
      </c>
      <c r="L3" s="2"/>
      <c r="S3" s="12"/>
    </row>
    <row r="4" spans="1:19" ht="20.25" customHeight="1">
      <c r="A4" s="867" t="s">
        <v>16</v>
      </c>
      <c r="B4" s="870" t="s">
        <v>17</v>
      </c>
      <c r="C4" s="873" t="s">
        <v>18</v>
      </c>
      <c r="D4" s="873" t="s">
        <v>19</v>
      </c>
      <c r="E4" s="813" t="s">
        <v>345</v>
      </c>
      <c r="F4" s="813" t="s">
        <v>20</v>
      </c>
      <c r="G4" s="873" t="s">
        <v>346</v>
      </c>
      <c r="H4" s="874" t="s">
        <v>21</v>
      </c>
      <c r="I4" s="290" t="s">
        <v>10</v>
      </c>
      <c r="J4" s="290" t="s">
        <v>11</v>
      </c>
      <c r="K4" s="290" t="s">
        <v>12</v>
      </c>
      <c r="L4" s="9" t="s">
        <v>13</v>
      </c>
      <c r="M4" s="879" t="s">
        <v>347</v>
      </c>
      <c r="N4" s="877" t="s">
        <v>262</v>
      </c>
      <c r="O4" s="30"/>
    </row>
    <row r="5" spans="1:19" ht="20.25" customHeight="1">
      <c r="A5" s="868"/>
      <c r="B5" s="871"/>
      <c r="C5" s="814"/>
      <c r="D5" s="814"/>
      <c r="E5" s="882"/>
      <c r="F5" s="814"/>
      <c r="G5" s="814"/>
      <c r="H5" s="875"/>
      <c r="I5" s="291"/>
      <c r="J5" s="291"/>
      <c r="K5" s="291" t="s">
        <v>22</v>
      </c>
      <c r="L5" s="10"/>
      <c r="M5" s="880"/>
      <c r="N5" s="878"/>
      <c r="O5" s="31"/>
    </row>
    <row r="6" spans="1:19" ht="20.25" customHeight="1" thickBot="1">
      <c r="A6" s="869"/>
      <c r="B6" s="872"/>
      <c r="C6" s="815"/>
      <c r="D6" s="815"/>
      <c r="E6" s="883"/>
      <c r="F6" s="815"/>
      <c r="G6" s="815"/>
      <c r="H6" s="876"/>
      <c r="I6" s="7" t="s">
        <v>23</v>
      </c>
      <c r="J6" s="7" t="s">
        <v>23</v>
      </c>
      <c r="K6" s="8" t="s">
        <v>24</v>
      </c>
      <c r="L6" s="11" t="s">
        <v>23</v>
      </c>
      <c r="M6" s="881"/>
      <c r="N6" s="29" t="s">
        <v>268</v>
      </c>
      <c r="O6" s="32"/>
    </row>
    <row r="7" spans="1:19">
      <c r="A7" s="150">
        <v>1</v>
      </c>
      <c r="B7" s="119" t="s">
        <v>26</v>
      </c>
      <c r="C7" s="120" t="s">
        <v>27</v>
      </c>
      <c r="D7" s="120" t="s">
        <v>28</v>
      </c>
      <c r="E7" s="121" t="s">
        <v>348</v>
      </c>
      <c r="F7" s="120" t="s">
        <v>29</v>
      </c>
      <c r="G7" s="122" t="s">
        <v>349</v>
      </c>
      <c r="H7" s="123" t="s">
        <v>30</v>
      </c>
      <c r="I7" s="80">
        <v>43578</v>
      </c>
      <c r="J7" s="80">
        <v>43608</v>
      </c>
      <c r="K7" s="124" t="s">
        <v>31</v>
      </c>
      <c r="L7" s="24">
        <v>43672</v>
      </c>
      <c r="M7" s="185">
        <f>L7+30</f>
        <v>43702</v>
      </c>
      <c r="N7" s="51"/>
      <c r="O7" s="149"/>
    </row>
    <row r="8" spans="1:19">
      <c r="A8" s="157">
        <v>2</v>
      </c>
      <c r="B8" s="130" t="s">
        <v>32</v>
      </c>
      <c r="C8" s="131" t="s">
        <v>230</v>
      </c>
      <c r="D8" s="131" t="s">
        <v>34</v>
      </c>
      <c r="E8" s="132" t="s">
        <v>350</v>
      </c>
      <c r="F8" s="131" t="s">
        <v>247</v>
      </c>
      <c r="G8" s="133" t="s">
        <v>351</v>
      </c>
      <c r="H8" s="134" t="s">
        <v>352</v>
      </c>
      <c r="I8" s="72">
        <v>43575</v>
      </c>
      <c r="J8" s="72">
        <v>43610</v>
      </c>
      <c r="K8" s="135" t="s">
        <v>258</v>
      </c>
      <c r="L8" s="147">
        <v>43681</v>
      </c>
      <c r="M8" s="186">
        <f t="shared" ref="M8:M9" si="0">L8+30</f>
        <v>43711</v>
      </c>
      <c r="N8" s="52"/>
      <c r="O8" s="149"/>
    </row>
    <row r="9" spans="1:19">
      <c r="A9" s="164">
        <v>3</v>
      </c>
      <c r="B9" s="136"/>
      <c r="C9" s="137" t="s">
        <v>37</v>
      </c>
      <c r="D9" s="137" t="s">
        <v>38</v>
      </c>
      <c r="E9" s="138" t="s">
        <v>353</v>
      </c>
      <c r="F9" s="137" t="s">
        <v>39</v>
      </c>
      <c r="G9" s="139" t="s">
        <v>354</v>
      </c>
      <c r="H9" s="140" t="s">
        <v>40</v>
      </c>
      <c r="I9" s="76">
        <v>43580</v>
      </c>
      <c r="J9" s="76">
        <v>43610</v>
      </c>
      <c r="K9" s="141" t="s">
        <v>258</v>
      </c>
      <c r="L9" s="148">
        <v>43673</v>
      </c>
      <c r="M9" s="27">
        <f t="shared" si="0"/>
        <v>43703</v>
      </c>
      <c r="N9" s="53"/>
      <c r="O9" s="149"/>
    </row>
    <row r="10" spans="1:19">
      <c r="A10" s="150">
        <v>4</v>
      </c>
      <c r="B10" s="151" t="s">
        <v>41</v>
      </c>
      <c r="C10" s="152" t="s">
        <v>42</v>
      </c>
      <c r="D10" s="152" t="s">
        <v>43</v>
      </c>
      <c r="E10" s="153" t="s">
        <v>355</v>
      </c>
      <c r="F10" s="152" t="s">
        <v>44</v>
      </c>
      <c r="G10" s="154" t="s">
        <v>356</v>
      </c>
      <c r="H10" s="155" t="s">
        <v>357</v>
      </c>
      <c r="I10" s="156">
        <v>43575</v>
      </c>
      <c r="J10" s="156">
        <v>43610</v>
      </c>
      <c r="K10" s="145" t="s">
        <v>46</v>
      </c>
      <c r="L10" s="147">
        <v>43669</v>
      </c>
      <c r="M10" s="186">
        <f>L10+30</f>
        <v>43699</v>
      </c>
      <c r="N10" s="171"/>
      <c r="O10" s="149"/>
    </row>
    <row r="11" spans="1:19">
      <c r="A11" s="157">
        <v>5</v>
      </c>
      <c r="B11" s="158" t="s">
        <v>32</v>
      </c>
      <c r="C11" s="159" t="s">
        <v>47</v>
      </c>
      <c r="D11" s="159" t="s">
        <v>48</v>
      </c>
      <c r="E11" s="160" t="s">
        <v>358</v>
      </c>
      <c r="F11" s="159" t="s">
        <v>49</v>
      </c>
      <c r="G11" s="161" t="s">
        <v>359</v>
      </c>
      <c r="H11" s="162" t="s">
        <v>360</v>
      </c>
      <c r="I11" s="163">
        <v>43577</v>
      </c>
      <c r="J11" s="163">
        <v>43608</v>
      </c>
      <c r="K11" s="144" t="s">
        <v>46</v>
      </c>
      <c r="L11" s="147">
        <v>43668</v>
      </c>
      <c r="M11" s="186">
        <f>L11+30</f>
        <v>43698</v>
      </c>
      <c r="N11" s="172"/>
      <c r="O11" s="149"/>
    </row>
    <row r="12" spans="1:19">
      <c r="A12" s="164">
        <v>6</v>
      </c>
      <c r="B12" s="165"/>
      <c r="C12" s="166" t="s">
        <v>47</v>
      </c>
      <c r="D12" s="166" t="s">
        <v>52</v>
      </c>
      <c r="E12" s="167" t="s">
        <v>361</v>
      </c>
      <c r="F12" s="166" t="s">
        <v>53</v>
      </c>
      <c r="G12" s="168" t="s">
        <v>362</v>
      </c>
      <c r="H12" s="169" t="s">
        <v>363</v>
      </c>
      <c r="I12" s="170">
        <v>43578</v>
      </c>
      <c r="J12" s="170">
        <v>43609</v>
      </c>
      <c r="K12" s="146" t="s">
        <v>46</v>
      </c>
      <c r="L12" s="148">
        <v>43668</v>
      </c>
      <c r="M12" s="27">
        <f>L12+30</f>
        <v>43698</v>
      </c>
      <c r="N12" s="173"/>
      <c r="O12" s="149"/>
    </row>
    <row r="13" spans="1:19">
      <c r="A13" s="97">
        <v>7</v>
      </c>
      <c r="B13" s="98" t="s">
        <v>55</v>
      </c>
      <c r="C13" s="99" t="s">
        <v>56</v>
      </c>
      <c r="D13" s="99" t="s">
        <v>57</v>
      </c>
      <c r="E13" s="100" t="s">
        <v>364</v>
      </c>
      <c r="F13" s="99" t="s">
        <v>58</v>
      </c>
      <c r="G13" s="101" t="s">
        <v>365</v>
      </c>
      <c r="H13" s="102" t="s">
        <v>366</v>
      </c>
      <c r="I13" s="103">
        <v>43572</v>
      </c>
      <c r="J13" s="80">
        <v>43602</v>
      </c>
      <c r="K13" s="145" t="s">
        <v>367</v>
      </c>
      <c r="L13" s="24">
        <v>43674</v>
      </c>
      <c r="M13" s="187">
        <v>43704</v>
      </c>
      <c r="N13" s="54"/>
      <c r="O13" s="129" t="s">
        <v>368</v>
      </c>
    </row>
    <row r="14" spans="1:19">
      <c r="A14" s="104">
        <v>8</v>
      </c>
      <c r="B14" s="105" t="s">
        <v>60</v>
      </c>
      <c r="C14" s="106" t="s">
        <v>274</v>
      </c>
      <c r="D14" s="106" t="s">
        <v>303</v>
      </c>
      <c r="E14" s="107" t="s">
        <v>369</v>
      </c>
      <c r="F14" s="106" t="s">
        <v>304</v>
      </c>
      <c r="G14" s="108" t="s">
        <v>370</v>
      </c>
      <c r="H14" s="109" t="s">
        <v>371</v>
      </c>
      <c r="I14" s="110">
        <v>43577</v>
      </c>
      <c r="J14" s="72">
        <v>43610</v>
      </c>
      <c r="K14" s="144" t="s">
        <v>154</v>
      </c>
      <c r="L14" s="147" t="s">
        <v>372</v>
      </c>
      <c r="M14" s="186"/>
      <c r="N14" s="52"/>
      <c r="O14" s="149"/>
    </row>
    <row r="15" spans="1:19">
      <c r="A15" s="104">
        <v>9</v>
      </c>
      <c r="B15" s="105"/>
      <c r="C15" s="106" t="s">
        <v>62</v>
      </c>
      <c r="D15" s="106" t="s">
        <v>63</v>
      </c>
      <c r="E15" s="107" t="s">
        <v>373</v>
      </c>
      <c r="F15" s="111" t="s">
        <v>374</v>
      </c>
      <c r="G15" s="108" t="s">
        <v>375</v>
      </c>
      <c r="H15" s="109" t="s">
        <v>376</v>
      </c>
      <c r="I15" s="110">
        <v>43569</v>
      </c>
      <c r="J15" s="72">
        <v>43605</v>
      </c>
      <c r="K15" s="144" t="s">
        <v>46</v>
      </c>
      <c r="L15" s="147" t="s">
        <v>372</v>
      </c>
      <c r="M15" s="186"/>
      <c r="N15" s="52"/>
      <c r="O15" s="149"/>
    </row>
    <row r="16" spans="1:19">
      <c r="A16" s="104">
        <v>10</v>
      </c>
      <c r="B16" s="105"/>
      <c r="C16" s="106" t="s">
        <v>67</v>
      </c>
      <c r="D16" s="106" t="s">
        <v>377</v>
      </c>
      <c r="E16" s="107" t="s">
        <v>378</v>
      </c>
      <c r="F16" s="106" t="s">
        <v>278</v>
      </c>
      <c r="G16" s="108" t="s">
        <v>379</v>
      </c>
      <c r="H16" s="109" t="s">
        <v>380</v>
      </c>
      <c r="I16" s="110">
        <v>43571</v>
      </c>
      <c r="J16" s="72">
        <v>43608</v>
      </c>
      <c r="K16" s="144" t="s">
        <v>367</v>
      </c>
      <c r="L16" s="147">
        <v>43674</v>
      </c>
      <c r="M16" s="186">
        <v>43704</v>
      </c>
      <c r="N16" s="52"/>
      <c r="O16" s="129" t="s">
        <v>381</v>
      </c>
    </row>
    <row r="17" spans="1:16">
      <c r="A17" s="104">
        <v>11</v>
      </c>
      <c r="B17" s="105"/>
      <c r="C17" s="106" t="s">
        <v>71</v>
      </c>
      <c r="D17" s="106" t="s">
        <v>72</v>
      </c>
      <c r="E17" s="107" t="s">
        <v>382</v>
      </c>
      <c r="F17" s="106" t="s">
        <v>279</v>
      </c>
      <c r="G17" s="108" t="s">
        <v>383</v>
      </c>
      <c r="H17" s="109" t="s">
        <v>384</v>
      </c>
      <c r="I17" s="110">
        <v>43574</v>
      </c>
      <c r="J17" s="110">
        <v>43605</v>
      </c>
      <c r="K17" s="20" t="s">
        <v>46</v>
      </c>
      <c r="L17" s="147" t="s">
        <v>372</v>
      </c>
      <c r="M17" s="186"/>
      <c r="N17" s="52"/>
      <c r="O17" s="149"/>
    </row>
    <row r="18" spans="1:16">
      <c r="A18" s="112">
        <v>12</v>
      </c>
      <c r="B18" s="113"/>
      <c r="C18" s="114" t="s">
        <v>75</v>
      </c>
      <c r="D18" s="114" t="s">
        <v>76</v>
      </c>
      <c r="E18" s="115" t="s">
        <v>378</v>
      </c>
      <c r="F18" s="114" t="s">
        <v>77</v>
      </c>
      <c r="G18" s="116" t="s">
        <v>385</v>
      </c>
      <c r="H18" s="117" t="s">
        <v>78</v>
      </c>
      <c r="I18" s="118">
        <v>43567</v>
      </c>
      <c r="J18" s="76">
        <v>43604</v>
      </c>
      <c r="K18" s="146" t="s">
        <v>46</v>
      </c>
      <c r="L18" s="147" t="s">
        <v>372</v>
      </c>
      <c r="M18" s="27"/>
      <c r="N18" s="55"/>
      <c r="O18" s="149"/>
    </row>
    <row r="19" spans="1:16">
      <c r="A19" s="82">
        <v>13</v>
      </c>
      <c r="B19" s="83" t="s">
        <v>79</v>
      </c>
      <c r="C19" s="84" t="s">
        <v>80</v>
      </c>
      <c r="D19" s="84" t="s">
        <v>81</v>
      </c>
      <c r="E19" s="85" t="s">
        <v>378</v>
      </c>
      <c r="F19" s="84" t="s">
        <v>308</v>
      </c>
      <c r="G19" s="86" t="s">
        <v>386</v>
      </c>
      <c r="H19" s="87" t="s">
        <v>83</v>
      </c>
      <c r="I19" s="88">
        <v>43572</v>
      </c>
      <c r="J19" s="89">
        <v>43607</v>
      </c>
      <c r="K19" s="145" t="s">
        <v>154</v>
      </c>
      <c r="L19" s="24">
        <v>43670</v>
      </c>
      <c r="M19" s="187">
        <v>43700</v>
      </c>
      <c r="N19" s="54"/>
      <c r="O19" s="77"/>
      <c r="P19" s="1" t="s">
        <v>387</v>
      </c>
    </row>
    <row r="20" spans="1:16" ht="15" thickBot="1">
      <c r="A20" s="90">
        <v>14</v>
      </c>
      <c r="B20" s="91" t="s">
        <v>309</v>
      </c>
      <c r="C20" s="92" t="s">
        <v>86</v>
      </c>
      <c r="D20" s="92" t="s">
        <v>388</v>
      </c>
      <c r="E20" s="93" t="s">
        <v>389</v>
      </c>
      <c r="F20" s="92" t="s">
        <v>281</v>
      </c>
      <c r="G20" s="94" t="s">
        <v>390</v>
      </c>
      <c r="H20" s="95" t="s">
        <v>391</v>
      </c>
      <c r="I20" s="96">
        <v>43571</v>
      </c>
      <c r="J20" s="96">
        <v>43607</v>
      </c>
      <c r="K20" s="146" t="s">
        <v>258</v>
      </c>
      <c r="L20" s="148">
        <v>43676</v>
      </c>
      <c r="M20" s="27">
        <v>43706</v>
      </c>
      <c r="N20" s="55"/>
      <c r="O20" s="77" t="s">
        <v>392</v>
      </c>
      <c r="P20" s="1" t="s">
        <v>387</v>
      </c>
    </row>
    <row r="21" spans="1:16">
      <c r="A21" s="70">
        <v>15</v>
      </c>
      <c r="B21" s="34" t="s">
        <v>90</v>
      </c>
      <c r="C21" s="35" t="s">
        <v>91</v>
      </c>
      <c r="D21" s="35" t="s">
        <v>393</v>
      </c>
      <c r="E21" s="41" t="s">
        <v>378</v>
      </c>
      <c r="F21" s="35" t="s">
        <v>93</v>
      </c>
      <c r="G21" s="36" t="s">
        <v>394</v>
      </c>
      <c r="H21" s="79" t="s">
        <v>395</v>
      </c>
      <c r="I21" s="80">
        <v>43575</v>
      </c>
      <c r="J21" s="80">
        <v>43605</v>
      </c>
      <c r="K21" s="174" t="s">
        <v>235</v>
      </c>
      <c r="L21" s="175">
        <v>43678</v>
      </c>
      <c r="M21" s="188">
        <f>L21+30</f>
        <v>43708</v>
      </c>
      <c r="N21" s="54"/>
      <c r="O21" s="142" t="s">
        <v>396</v>
      </c>
      <c r="P21" s="1" t="s">
        <v>387</v>
      </c>
    </row>
    <row r="22" spans="1:16" ht="15" thickBot="1">
      <c r="A22" s="71">
        <v>16</v>
      </c>
      <c r="B22" s="42" t="s">
        <v>98</v>
      </c>
      <c r="C22" s="43" t="s">
        <v>91</v>
      </c>
      <c r="D22" s="43" t="s">
        <v>95</v>
      </c>
      <c r="E22" s="41" t="s">
        <v>290</v>
      </c>
      <c r="F22" s="81" t="s">
        <v>96</v>
      </c>
      <c r="G22" s="44" t="s">
        <v>397</v>
      </c>
      <c r="H22" s="45" t="s">
        <v>291</v>
      </c>
      <c r="I22" s="72">
        <v>43574</v>
      </c>
      <c r="J22" s="72">
        <v>43602</v>
      </c>
      <c r="K22" s="176" t="s">
        <v>235</v>
      </c>
      <c r="L22" s="177">
        <v>43676</v>
      </c>
      <c r="M22" s="189">
        <f>L22+30</f>
        <v>43706</v>
      </c>
      <c r="N22" s="52"/>
      <c r="O22" s="143" t="s">
        <v>396</v>
      </c>
      <c r="P22" s="1" t="s">
        <v>387</v>
      </c>
    </row>
    <row r="23" spans="1:16">
      <c r="A23" s="71">
        <v>17</v>
      </c>
      <c r="B23" s="42"/>
      <c r="C23" s="43" t="s">
        <v>310</v>
      </c>
      <c r="D23" s="43" t="s">
        <v>100</v>
      </c>
      <c r="E23" s="41" t="s">
        <v>378</v>
      </c>
      <c r="F23" s="56" t="s">
        <v>101</v>
      </c>
      <c r="G23" s="44" t="s">
        <v>398</v>
      </c>
      <c r="H23" s="45" t="s">
        <v>399</v>
      </c>
      <c r="I23" s="72">
        <v>43574</v>
      </c>
      <c r="J23" s="72">
        <v>43605</v>
      </c>
      <c r="K23" s="176" t="s">
        <v>154</v>
      </c>
      <c r="L23" s="178">
        <v>43667</v>
      </c>
      <c r="M23" s="190">
        <f t="shared" ref="M23:M29" si="1">L23+30</f>
        <v>43697</v>
      </c>
      <c r="N23" s="52"/>
      <c r="O23" s="143" t="s">
        <v>400</v>
      </c>
      <c r="P23" s="1" t="s">
        <v>387</v>
      </c>
    </row>
    <row r="24" spans="1:16" ht="15" thickBot="1">
      <c r="A24" s="71">
        <v>18</v>
      </c>
      <c r="B24" s="42"/>
      <c r="C24" s="43" t="s">
        <v>310</v>
      </c>
      <c r="D24" s="43" t="s">
        <v>311</v>
      </c>
      <c r="E24" s="41" t="s">
        <v>401</v>
      </c>
      <c r="F24" s="73" t="s">
        <v>104</v>
      </c>
      <c r="G24" s="44" t="s">
        <v>402</v>
      </c>
      <c r="H24" s="45" t="s">
        <v>403</v>
      </c>
      <c r="I24" s="72">
        <v>43574</v>
      </c>
      <c r="J24" s="72">
        <v>43602</v>
      </c>
      <c r="K24" s="176" t="s">
        <v>154</v>
      </c>
      <c r="L24" s="179">
        <v>43665</v>
      </c>
      <c r="M24" s="191">
        <f t="shared" si="1"/>
        <v>43695</v>
      </c>
      <c r="N24" s="52"/>
      <c r="O24" s="143" t="s">
        <v>400</v>
      </c>
      <c r="P24" s="1" t="s">
        <v>387</v>
      </c>
    </row>
    <row r="25" spans="1:16" ht="15" thickBot="1">
      <c r="A25" s="71">
        <v>19</v>
      </c>
      <c r="B25" s="42"/>
      <c r="C25" s="43" t="s">
        <v>312</v>
      </c>
      <c r="D25" s="43" t="s">
        <v>255</v>
      </c>
      <c r="E25" s="41" t="s">
        <v>378</v>
      </c>
      <c r="F25" s="43" t="s">
        <v>293</v>
      </c>
      <c r="G25" s="44" t="s">
        <v>404</v>
      </c>
      <c r="H25" s="45" t="s">
        <v>405</v>
      </c>
      <c r="I25" s="72">
        <v>43573</v>
      </c>
      <c r="J25" s="72">
        <v>43604</v>
      </c>
      <c r="K25" s="176" t="s">
        <v>154</v>
      </c>
      <c r="L25" s="180">
        <v>43671</v>
      </c>
      <c r="M25" s="192">
        <f t="shared" si="1"/>
        <v>43701</v>
      </c>
      <c r="N25" s="52"/>
      <c r="O25" s="143" t="s">
        <v>406</v>
      </c>
      <c r="P25" s="1" t="s">
        <v>407</v>
      </c>
    </row>
    <row r="26" spans="1:16">
      <c r="A26" s="71">
        <v>20</v>
      </c>
      <c r="B26" s="42"/>
      <c r="C26" s="43" t="s">
        <v>313</v>
      </c>
      <c r="D26" s="43" t="s">
        <v>111</v>
      </c>
      <c r="E26" s="41" t="s">
        <v>408</v>
      </c>
      <c r="F26" s="43" t="s">
        <v>216</v>
      </c>
      <c r="G26" s="44" t="s">
        <v>409</v>
      </c>
      <c r="H26" s="45" t="s">
        <v>410</v>
      </c>
      <c r="I26" s="72">
        <v>43574</v>
      </c>
      <c r="J26" s="72">
        <v>43605</v>
      </c>
      <c r="K26" s="176" t="s">
        <v>154</v>
      </c>
      <c r="L26" s="181"/>
      <c r="M26" s="193"/>
      <c r="N26" s="52"/>
      <c r="O26" s="143" t="s">
        <v>392</v>
      </c>
      <c r="P26" s="1" t="s">
        <v>411</v>
      </c>
    </row>
    <row r="27" spans="1:16">
      <c r="A27" s="71">
        <v>21</v>
      </c>
      <c r="B27" s="42"/>
      <c r="C27" s="43" t="s">
        <v>313</v>
      </c>
      <c r="D27" s="43" t="s">
        <v>115</v>
      </c>
      <c r="E27" s="41" t="s">
        <v>412</v>
      </c>
      <c r="F27" s="56" t="s">
        <v>413</v>
      </c>
      <c r="G27" s="44" t="s">
        <v>414</v>
      </c>
      <c r="H27" s="45" t="s">
        <v>415</v>
      </c>
      <c r="I27" s="72">
        <v>43575</v>
      </c>
      <c r="J27" s="72">
        <v>43611</v>
      </c>
      <c r="K27" s="176" t="s">
        <v>235</v>
      </c>
      <c r="L27" s="182">
        <v>43672</v>
      </c>
      <c r="M27" s="186">
        <f>L27+30</f>
        <v>43702</v>
      </c>
      <c r="N27" s="52"/>
      <c r="O27" s="143"/>
      <c r="P27" s="1" t="s">
        <v>387</v>
      </c>
    </row>
    <row r="28" spans="1:16">
      <c r="A28" s="71">
        <v>22</v>
      </c>
      <c r="B28" s="42"/>
      <c r="C28" s="43" t="s">
        <v>314</v>
      </c>
      <c r="D28" s="43" t="s">
        <v>119</v>
      </c>
      <c r="E28" s="41" t="s">
        <v>416</v>
      </c>
      <c r="F28" s="43" t="s">
        <v>120</v>
      </c>
      <c r="G28" s="44" t="s">
        <v>417</v>
      </c>
      <c r="H28" s="45" t="s">
        <v>418</v>
      </c>
      <c r="I28" s="72">
        <v>43570</v>
      </c>
      <c r="J28" s="72">
        <v>43602</v>
      </c>
      <c r="K28" s="176" t="s">
        <v>154</v>
      </c>
      <c r="L28" s="182">
        <v>43673</v>
      </c>
      <c r="M28" s="186">
        <f>L28+30</f>
        <v>43703</v>
      </c>
      <c r="N28" s="52"/>
      <c r="O28" s="143"/>
      <c r="P28" s="1" t="s">
        <v>387</v>
      </c>
    </row>
    <row r="29" spans="1:16">
      <c r="A29" s="71">
        <v>23</v>
      </c>
      <c r="B29" s="42"/>
      <c r="C29" s="43" t="s">
        <v>315</v>
      </c>
      <c r="D29" s="43" t="s">
        <v>123</v>
      </c>
      <c r="E29" s="41" t="s">
        <v>419</v>
      </c>
      <c r="F29" s="43" t="s">
        <v>337</v>
      </c>
      <c r="G29" s="44" t="s">
        <v>420</v>
      </c>
      <c r="H29" s="45" t="s">
        <v>421</v>
      </c>
      <c r="I29" s="72">
        <v>43575</v>
      </c>
      <c r="J29" s="72">
        <v>43603</v>
      </c>
      <c r="K29" s="176" t="s">
        <v>235</v>
      </c>
      <c r="L29" s="178">
        <v>43668</v>
      </c>
      <c r="M29" s="190">
        <f t="shared" si="1"/>
        <v>43698</v>
      </c>
      <c r="N29" s="52"/>
      <c r="O29" s="143" t="s">
        <v>422</v>
      </c>
    </row>
    <row r="30" spans="1:16" ht="15" thickBot="1">
      <c r="A30" s="71">
        <v>24</v>
      </c>
      <c r="B30" s="42"/>
      <c r="C30" s="43" t="s">
        <v>316</v>
      </c>
      <c r="D30" s="43" t="s">
        <v>128</v>
      </c>
      <c r="E30" s="41" t="s">
        <v>423</v>
      </c>
      <c r="F30" s="43" t="s">
        <v>129</v>
      </c>
      <c r="G30" s="44" t="s">
        <v>424</v>
      </c>
      <c r="H30" s="45" t="s">
        <v>425</v>
      </c>
      <c r="I30" s="72">
        <v>43578</v>
      </c>
      <c r="J30" s="72">
        <v>43610</v>
      </c>
      <c r="K30" s="176" t="s">
        <v>154</v>
      </c>
      <c r="L30" s="179">
        <v>43668</v>
      </c>
      <c r="M30" s="191">
        <f>L30+30</f>
        <v>43698</v>
      </c>
      <c r="N30" s="52"/>
      <c r="O30" s="143"/>
    </row>
    <row r="31" spans="1:16" ht="15" thickBot="1">
      <c r="A31" s="71">
        <v>25</v>
      </c>
      <c r="B31" s="42"/>
      <c r="C31" s="43" t="s">
        <v>317</v>
      </c>
      <c r="D31" s="43" t="s">
        <v>132</v>
      </c>
      <c r="E31" s="41" t="s">
        <v>423</v>
      </c>
      <c r="F31" s="43" t="s">
        <v>218</v>
      </c>
      <c r="G31" s="44" t="s">
        <v>426</v>
      </c>
      <c r="H31" s="45" t="s">
        <v>427</v>
      </c>
      <c r="I31" s="72">
        <v>43572</v>
      </c>
      <c r="J31" s="72">
        <v>43602</v>
      </c>
      <c r="K31" s="176" t="s">
        <v>235</v>
      </c>
      <c r="L31" s="180">
        <v>43678</v>
      </c>
      <c r="M31" s="192">
        <f>L31+30</f>
        <v>43708</v>
      </c>
      <c r="N31" s="52"/>
      <c r="O31" s="143" t="s">
        <v>428</v>
      </c>
    </row>
    <row r="32" spans="1:16">
      <c r="A32" s="71">
        <v>26</v>
      </c>
      <c r="B32" s="42"/>
      <c r="C32" s="43" t="s">
        <v>318</v>
      </c>
      <c r="D32" s="43" t="s">
        <v>137</v>
      </c>
      <c r="E32" s="41" t="s">
        <v>429</v>
      </c>
      <c r="F32" s="43" t="s">
        <v>338</v>
      </c>
      <c r="G32" s="44" t="s">
        <v>430</v>
      </c>
      <c r="H32" s="45" t="s">
        <v>431</v>
      </c>
      <c r="I32" s="72">
        <v>43578</v>
      </c>
      <c r="J32" s="72">
        <v>43608</v>
      </c>
      <c r="K32" s="176" t="s">
        <v>154</v>
      </c>
      <c r="L32" s="178">
        <v>43671</v>
      </c>
      <c r="M32" s="190">
        <f t="shared" ref="M32" si="2">L32+30</f>
        <v>43701</v>
      </c>
      <c r="N32" s="52"/>
      <c r="O32" s="143" t="s">
        <v>432</v>
      </c>
    </row>
    <row r="33" spans="1:15">
      <c r="A33" s="71">
        <v>27</v>
      </c>
      <c r="B33" s="42"/>
      <c r="C33" s="43" t="s">
        <v>141</v>
      </c>
      <c r="D33" s="43" t="s">
        <v>142</v>
      </c>
      <c r="E33" s="41" t="s">
        <v>378</v>
      </c>
      <c r="F33" s="43" t="s">
        <v>294</v>
      </c>
      <c r="G33" s="44" t="s">
        <v>433</v>
      </c>
      <c r="H33" s="45" t="s">
        <v>434</v>
      </c>
      <c r="I33" s="72">
        <v>43578</v>
      </c>
      <c r="J33" s="72">
        <v>43608</v>
      </c>
      <c r="K33" s="176" t="s">
        <v>154</v>
      </c>
      <c r="L33" s="182">
        <v>43670</v>
      </c>
      <c r="M33" s="186">
        <f>L33+30</f>
        <v>43700</v>
      </c>
      <c r="N33" s="52"/>
      <c r="O33" s="143" t="s">
        <v>435</v>
      </c>
    </row>
    <row r="34" spans="1:15">
      <c r="A34" s="74">
        <v>28</v>
      </c>
      <c r="B34" s="37"/>
      <c r="C34" s="38" t="s">
        <v>141</v>
      </c>
      <c r="D34" s="38" t="s">
        <v>146</v>
      </c>
      <c r="E34" s="39" t="s">
        <v>378</v>
      </c>
      <c r="F34" s="57" t="s">
        <v>319</v>
      </c>
      <c r="G34" s="40" t="s">
        <v>436</v>
      </c>
      <c r="H34" s="75" t="s">
        <v>437</v>
      </c>
      <c r="I34" s="76">
        <v>43571</v>
      </c>
      <c r="J34" s="76">
        <v>43605</v>
      </c>
      <c r="K34" s="183" t="s">
        <v>154</v>
      </c>
      <c r="L34" s="184">
        <v>43670</v>
      </c>
      <c r="M34" s="27">
        <f>L34+30</f>
        <v>43700</v>
      </c>
      <c r="N34" s="55"/>
      <c r="O34" s="143" t="s">
        <v>438</v>
      </c>
    </row>
    <row r="35" spans="1:15">
      <c r="A35" s="4">
        <v>29</v>
      </c>
      <c r="B35" s="34" t="s">
        <v>149</v>
      </c>
      <c r="C35" s="35" t="s">
        <v>320</v>
      </c>
      <c r="D35" s="35" t="s">
        <v>151</v>
      </c>
      <c r="E35" s="35"/>
      <c r="F35" s="35" t="s">
        <v>152</v>
      </c>
      <c r="G35" s="46" t="s">
        <v>439</v>
      </c>
      <c r="H35" s="36" t="s">
        <v>440</v>
      </c>
      <c r="I35" s="25">
        <v>43569</v>
      </c>
      <c r="J35" s="25">
        <v>43602</v>
      </c>
      <c r="K35" s="26" t="s">
        <v>154</v>
      </c>
      <c r="L35" s="13">
        <v>43666</v>
      </c>
      <c r="M35" s="187">
        <f>L35+30</f>
        <v>43696</v>
      </c>
      <c r="N35" s="54"/>
      <c r="O35" s="33"/>
    </row>
    <row r="36" spans="1:15">
      <c r="A36" s="5">
        <v>30</v>
      </c>
      <c r="B36" s="37" t="s">
        <v>85</v>
      </c>
      <c r="C36" s="38" t="s">
        <v>321</v>
      </c>
      <c r="D36" s="38" t="s">
        <v>155</v>
      </c>
      <c r="E36" s="38"/>
      <c r="F36" s="38" t="s">
        <v>156</v>
      </c>
      <c r="G36" s="47" t="s">
        <v>441</v>
      </c>
      <c r="H36" s="40" t="s">
        <v>157</v>
      </c>
      <c r="I36" s="27">
        <v>43571</v>
      </c>
      <c r="J36" s="27">
        <v>43604</v>
      </c>
      <c r="K36" s="14" t="s">
        <v>154</v>
      </c>
      <c r="L36" s="15">
        <v>43673</v>
      </c>
      <c r="M36" s="27">
        <f>L36+30</f>
        <v>43703</v>
      </c>
      <c r="N36" s="55"/>
      <c r="O36" s="33"/>
    </row>
    <row r="37" spans="1:15">
      <c r="A37" s="70">
        <v>31</v>
      </c>
      <c r="B37" s="34" t="s">
        <v>158</v>
      </c>
      <c r="C37" s="35" t="s">
        <v>324</v>
      </c>
      <c r="D37" s="35" t="s">
        <v>442</v>
      </c>
      <c r="E37" s="128" t="s">
        <v>443</v>
      </c>
      <c r="F37" s="35" t="s">
        <v>161</v>
      </c>
      <c r="G37" s="36" t="s">
        <v>444</v>
      </c>
      <c r="H37" s="79" t="s">
        <v>445</v>
      </c>
      <c r="I37" s="16">
        <v>43568</v>
      </c>
      <c r="J37" s="16">
        <v>43598</v>
      </c>
      <c r="K37" s="17" t="s">
        <v>154</v>
      </c>
      <c r="L37" s="18">
        <v>43666</v>
      </c>
      <c r="M37" s="16">
        <f>L37+30</f>
        <v>43696</v>
      </c>
      <c r="N37" s="125"/>
      <c r="O37" s="149"/>
    </row>
    <row r="38" spans="1:15">
      <c r="A38" s="3">
        <v>32</v>
      </c>
      <c r="B38" s="42"/>
      <c r="C38" s="58" t="s">
        <v>325</v>
      </c>
      <c r="D38" s="58" t="s">
        <v>165</v>
      </c>
      <c r="E38" s="59" t="s">
        <v>361</v>
      </c>
      <c r="F38" s="58" t="s">
        <v>326</v>
      </c>
      <c r="G38" s="60" t="s">
        <v>446</v>
      </c>
      <c r="H38" s="61" t="s">
        <v>447</v>
      </c>
      <c r="I38" s="62">
        <v>43565</v>
      </c>
      <c r="J38" s="62">
        <v>43598</v>
      </c>
      <c r="K38" s="63" t="s">
        <v>154</v>
      </c>
      <c r="L38" s="64">
        <v>43657</v>
      </c>
      <c r="M38" s="19">
        <f t="shared" ref="M38:M46" si="3">L38+30</f>
        <v>43687</v>
      </c>
      <c r="N38" s="126"/>
      <c r="O38" s="33"/>
    </row>
    <row r="39" spans="1:15">
      <c r="A39" s="3">
        <v>33</v>
      </c>
      <c r="B39" s="42" t="s">
        <v>168</v>
      </c>
      <c r="C39" s="43" t="s">
        <v>327</v>
      </c>
      <c r="D39" s="43" t="s">
        <v>170</v>
      </c>
      <c r="E39" s="41" t="s">
        <v>448</v>
      </c>
      <c r="F39" s="43" t="s">
        <v>171</v>
      </c>
      <c r="G39" s="44" t="s">
        <v>449</v>
      </c>
      <c r="H39" s="45" t="s">
        <v>448</v>
      </c>
      <c r="I39" s="19">
        <v>43573</v>
      </c>
      <c r="J39" s="19">
        <v>43607</v>
      </c>
      <c r="K39" s="20" t="s">
        <v>154</v>
      </c>
      <c r="L39" s="21">
        <v>43663</v>
      </c>
      <c r="M39" s="19">
        <f t="shared" si="3"/>
        <v>43693</v>
      </c>
      <c r="N39" s="126"/>
      <c r="O39" s="33"/>
    </row>
    <row r="40" spans="1:15">
      <c r="A40" s="3">
        <v>34</v>
      </c>
      <c r="B40" s="42"/>
      <c r="C40" s="43" t="s">
        <v>327</v>
      </c>
      <c r="D40" s="43" t="s">
        <v>173</v>
      </c>
      <c r="E40" s="41" t="s">
        <v>450</v>
      </c>
      <c r="F40" s="43" t="s">
        <v>340</v>
      </c>
      <c r="G40" s="44" t="s">
        <v>451</v>
      </c>
      <c r="H40" s="45" t="s">
        <v>452</v>
      </c>
      <c r="I40" s="19">
        <v>43573</v>
      </c>
      <c r="J40" s="19">
        <v>43603</v>
      </c>
      <c r="K40" s="20" t="s">
        <v>154</v>
      </c>
      <c r="L40" s="21">
        <v>43664</v>
      </c>
      <c r="M40" s="19">
        <f t="shared" si="3"/>
        <v>43694</v>
      </c>
      <c r="N40" s="126"/>
      <c r="O40" s="33"/>
    </row>
    <row r="41" spans="1:15">
      <c r="A41" s="3">
        <v>35</v>
      </c>
      <c r="B41" s="48"/>
      <c r="C41" s="56" t="s">
        <v>330</v>
      </c>
      <c r="D41" s="56" t="s">
        <v>177</v>
      </c>
      <c r="E41" s="41" t="s">
        <v>453</v>
      </c>
      <c r="F41" s="56" t="s">
        <v>454</v>
      </c>
      <c r="G41" s="65" t="s">
        <v>455</v>
      </c>
      <c r="H41" s="66" t="s">
        <v>456</v>
      </c>
      <c r="I41" s="19">
        <v>43573</v>
      </c>
      <c r="J41" s="19">
        <v>43604</v>
      </c>
      <c r="K41" s="20" t="s">
        <v>154</v>
      </c>
      <c r="L41" s="21">
        <v>43669</v>
      </c>
      <c r="M41" s="19">
        <f t="shared" si="3"/>
        <v>43699</v>
      </c>
      <c r="N41" s="126"/>
    </row>
    <row r="42" spans="1:15">
      <c r="A42" s="3">
        <v>36</v>
      </c>
      <c r="B42" s="42"/>
      <c r="C42" s="43" t="s">
        <v>180</v>
      </c>
      <c r="D42" s="43" t="s">
        <v>181</v>
      </c>
      <c r="E42" s="41" t="s">
        <v>457</v>
      </c>
      <c r="F42" s="49" t="s">
        <v>182</v>
      </c>
      <c r="G42" s="50" t="s">
        <v>361</v>
      </c>
      <c r="H42" s="45" t="s">
        <v>458</v>
      </c>
      <c r="I42" s="19">
        <v>43576</v>
      </c>
      <c r="J42" s="19">
        <v>43602</v>
      </c>
      <c r="K42" s="20" t="s">
        <v>154</v>
      </c>
      <c r="L42" s="21">
        <v>43666</v>
      </c>
      <c r="M42" s="19">
        <f t="shared" si="3"/>
        <v>43696</v>
      </c>
      <c r="N42" s="126"/>
    </row>
    <row r="43" spans="1:15">
      <c r="A43" s="3">
        <v>37</v>
      </c>
      <c r="B43" s="42"/>
      <c r="C43" s="43" t="s">
        <v>185</v>
      </c>
      <c r="D43" s="43" t="s">
        <v>186</v>
      </c>
      <c r="E43" s="41" t="s">
        <v>378</v>
      </c>
      <c r="F43" s="43" t="s">
        <v>187</v>
      </c>
      <c r="G43" s="44" t="s">
        <v>459</v>
      </c>
      <c r="H43" s="45" t="s">
        <v>460</v>
      </c>
      <c r="I43" s="19">
        <v>43573</v>
      </c>
      <c r="J43" s="19">
        <v>43602</v>
      </c>
      <c r="K43" s="20" t="s">
        <v>154</v>
      </c>
      <c r="L43" s="21">
        <v>43670</v>
      </c>
      <c r="M43" s="19">
        <f t="shared" si="3"/>
        <v>43700</v>
      </c>
      <c r="N43" s="126"/>
    </row>
    <row r="44" spans="1:15">
      <c r="A44" s="3">
        <v>38</v>
      </c>
      <c r="B44" s="42"/>
      <c r="C44" s="43" t="s">
        <v>332</v>
      </c>
      <c r="D44" s="43" t="s">
        <v>190</v>
      </c>
      <c r="E44" s="41" t="s">
        <v>461</v>
      </c>
      <c r="F44" s="43" t="s">
        <v>333</v>
      </c>
      <c r="G44" s="44" t="s">
        <v>462</v>
      </c>
      <c r="H44" s="45" t="s">
        <v>463</v>
      </c>
      <c r="I44" s="19">
        <v>43570</v>
      </c>
      <c r="J44" s="19">
        <v>43602</v>
      </c>
      <c r="K44" s="20" t="s">
        <v>154</v>
      </c>
      <c r="L44" s="21">
        <v>43664</v>
      </c>
      <c r="M44" s="19">
        <f t="shared" si="3"/>
        <v>43694</v>
      </c>
      <c r="N44" s="126"/>
    </row>
    <row r="45" spans="1:15">
      <c r="A45" s="3">
        <v>39</v>
      </c>
      <c r="B45" s="42"/>
      <c r="C45" s="43" t="s">
        <v>334</v>
      </c>
      <c r="D45" s="43" t="s">
        <v>194</v>
      </c>
      <c r="E45" s="41" t="s">
        <v>464</v>
      </c>
      <c r="F45" s="43" t="s">
        <v>195</v>
      </c>
      <c r="G45" s="44" t="s">
        <v>465</v>
      </c>
      <c r="H45" s="45" t="s">
        <v>466</v>
      </c>
      <c r="I45" s="19">
        <v>43577</v>
      </c>
      <c r="J45" s="19">
        <v>43612</v>
      </c>
      <c r="K45" s="20" t="s">
        <v>46</v>
      </c>
      <c r="L45" s="21">
        <v>43675</v>
      </c>
      <c r="M45" s="19">
        <f t="shared" si="3"/>
        <v>43705</v>
      </c>
      <c r="N45" s="126"/>
    </row>
    <row r="46" spans="1:15">
      <c r="A46" s="67">
        <v>40</v>
      </c>
      <c r="B46" s="37"/>
      <c r="C46" s="57" t="s">
        <v>197</v>
      </c>
      <c r="D46" s="57" t="s">
        <v>198</v>
      </c>
      <c r="E46" s="39" t="s">
        <v>467</v>
      </c>
      <c r="F46" s="57" t="s">
        <v>199</v>
      </c>
      <c r="G46" s="68" t="s">
        <v>468</v>
      </c>
      <c r="H46" s="69" t="s">
        <v>469</v>
      </c>
      <c r="I46" s="22">
        <v>43574</v>
      </c>
      <c r="J46" s="22">
        <v>43604</v>
      </c>
      <c r="K46" s="14" t="s">
        <v>154</v>
      </c>
      <c r="L46" s="23">
        <v>43668</v>
      </c>
      <c r="M46" s="22">
        <f t="shared" si="3"/>
        <v>43698</v>
      </c>
      <c r="N46" s="127"/>
    </row>
  </sheetData>
  <mergeCells count="10">
    <mergeCell ref="N4:N5"/>
    <mergeCell ref="G4:G6"/>
    <mergeCell ref="H4:H6"/>
    <mergeCell ref="M4:M6"/>
    <mergeCell ref="A4:A6"/>
    <mergeCell ref="B4:B6"/>
    <mergeCell ref="C4:C6"/>
    <mergeCell ref="D4:D6"/>
    <mergeCell ref="E4:E6"/>
    <mergeCell ref="F4:F6"/>
  </mergeCells>
  <phoneticPr fontId="1"/>
  <printOptions horizontalCentered="1"/>
  <pageMargins left="0.15748031496062992" right="0.15748031496062992" top="0.66" bottom="0.15748031496062992" header="0.31496062992125984" footer="0.31496062992125984"/>
  <pageSetup paperSize="9" scale="70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D4C-8C31-457E-B9F5-81D0211B2BC8}">
  <sheetPr>
    <pageSetUpPr fitToPage="1"/>
  </sheetPr>
  <dimension ref="A1:N54"/>
  <sheetViews>
    <sheetView workbookViewId="0">
      <selection activeCell="D24" sqref="D24"/>
    </sheetView>
  </sheetViews>
  <sheetFormatPr baseColWidth="10" defaultColWidth="8.83203125" defaultRowHeight="14"/>
  <cols>
    <col min="3" max="4" width="13.5" customWidth="1"/>
    <col min="5" max="5" width="0.5" customWidth="1"/>
    <col min="6" max="6" width="42.5" bestFit="1" customWidth="1"/>
    <col min="7" max="7" width="0" hidden="1" customWidth="1"/>
    <col min="8" max="8" width="14.5" customWidth="1"/>
    <col min="9" max="9" width="11.5" customWidth="1"/>
    <col min="10" max="10" width="14.5" customWidth="1"/>
    <col min="11" max="11" width="11.5" bestFit="1" customWidth="1"/>
    <col min="12" max="12" width="6" customWidth="1"/>
    <col min="13" max="13" width="15" customWidth="1"/>
    <col min="14" max="14" width="17" customWidth="1"/>
  </cols>
  <sheetData>
    <row r="1" spans="1:14">
      <c r="A1" t="s">
        <v>470</v>
      </c>
      <c r="N1" s="380">
        <f ca="1">NOW()</f>
        <v>46244.880165972223</v>
      </c>
    </row>
    <row r="2" spans="1:14">
      <c r="A2" s="885" t="s">
        <v>471</v>
      </c>
      <c r="B2" s="885"/>
      <c r="C2" s="885"/>
      <c r="D2" s="885"/>
      <c r="E2" s="885"/>
      <c r="F2" s="885"/>
      <c r="G2" s="885"/>
      <c r="H2" s="885"/>
      <c r="I2" s="326" t="s">
        <v>472</v>
      </c>
      <c r="J2" s="326" t="s">
        <v>473</v>
      </c>
      <c r="K2" s="326" t="s">
        <v>474</v>
      </c>
      <c r="L2" s="884" t="s">
        <v>475</v>
      </c>
      <c r="M2" s="307"/>
      <c r="N2" s="307"/>
    </row>
    <row r="3" spans="1:14" ht="13.5" customHeight="1">
      <c r="A3" s="816" t="s">
        <v>16</v>
      </c>
      <c r="B3" s="828" t="s">
        <v>17</v>
      </c>
      <c r="C3" s="816" t="s">
        <v>18</v>
      </c>
      <c r="D3" s="816" t="s">
        <v>19</v>
      </c>
      <c r="E3" s="886" t="s">
        <v>345</v>
      </c>
      <c r="F3" s="816" t="s">
        <v>21</v>
      </c>
      <c r="G3" s="828" t="s">
        <v>346</v>
      </c>
      <c r="H3" s="887" t="s">
        <v>20</v>
      </c>
      <c r="I3" s="887" t="s">
        <v>20</v>
      </c>
      <c r="J3" s="887" t="s">
        <v>20</v>
      </c>
      <c r="K3" s="888" t="s">
        <v>476</v>
      </c>
      <c r="L3" s="884"/>
      <c r="M3" s="885" t="s">
        <v>477</v>
      </c>
      <c r="N3" s="885" t="s">
        <v>478</v>
      </c>
    </row>
    <row r="4" spans="1:14">
      <c r="A4" s="816"/>
      <c r="B4" s="828"/>
      <c r="C4" s="816"/>
      <c r="D4" s="816"/>
      <c r="E4" s="886"/>
      <c r="F4" s="816"/>
      <c r="G4" s="828"/>
      <c r="H4" s="816"/>
      <c r="I4" s="816"/>
      <c r="J4" s="816"/>
      <c r="K4" s="889"/>
      <c r="L4" s="884"/>
      <c r="M4" s="885"/>
      <c r="N4" s="885"/>
    </row>
    <row r="5" spans="1:14">
      <c r="A5" s="816"/>
      <c r="B5" s="828"/>
      <c r="C5" s="816"/>
      <c r="D5" s="816"/>
      <c r="E5" s="886"/>
      <c r="F5" s="816"/>
      <c r="G5" s="828"/>
      <c r="H5" s="816"/>
      <c r="I5" s="816"/>
      <c r="J5" s="816"/>
      <c r="K5" s="890"/>
      <c r="L5" s="884"/>
      <c r="M5" s="885"/>
      <c r="N5" s="885"/>
    </row>
    <row r="6" spans="1:14">
      <c r="A6" s="150">
        <v>1</v>
      </c>
      <c r="B6" s="331" t="s">
        <v>26</v>
      </c>
      <c r="C6" s="341" t="s">
        <v>27</v>
      </c>
      <c r="D6" s="341" t="s">
        <v>28</v>
      </c>
      <c r="E6" s="341" t="s">
        <v>348</v>
      </c>
      <c r="F6" s="341" t="s">
        <v>30</v>
      </c>
      <c r="G6" s="292" t="s">
        <v>349</v>
      </c>
      <c r="H6" s="309" t="s">
        <v>29</v>
      </c>
      <c r="I6" s="309" t="s">
        <v>29</v>
      </c>
      <c r="J6" s="310" t="s">
        <v>29</v>
      </c>
      <c r="K6" s="310" t="s">
        <v>29</v>
      </c>
      <c r="L6" s="307" t="s">
        <v>479</v>
      </c>
      <c r="M6" s="307"/>
      <c r="N6" s="307"/>
    </row>
    <row r="7" spans="1:14">
      <c r="A7" s="157">
        <v>2</v>
      </c>
      <c r="B7" s="332" t="s">
        <v>32</v>
      </c>
      <c r="C7" s="342" t="s">
        <v>230</v>
      </c>
      <c r="D7" s="342" t="s">
        <v>34</v>
      </c>
      <c r="E7" s="342" t="s">
        <v>350</v>
      </c>
      <c r="F7" s="342" t="s">
        <v>352</v>
      </c>
      <c r="G7" s="293" t="s">
        <v>351</v>
      </c>
      <c r="H7" s="309" t="s">
        <v>247</v>
      </c>
      <c r="I7" s="309" t="s">
        <v>247</v>
      </c>
      <c r="J7" s="310" t="s">
        <v>247</v>
      </c>
      <c r="K7" s="310" t="s">
        <v>247</v>
      </c>
      <c r="L7" s="307" t="s">
        <v>479</v>
      </c>
      <c r="M7" s="307"/>
      <c r="N7" s="307"/>
    </row>
    <row r="8" spans="1:14">
      <c r="A8" s="164">
        <v>3</v>
      </c>
      <c r="B8" s="390" t="s">
        <v>480</v>
      </c>
      <c r="C8" s="343" t="s">
        <v>37</v>
      </c>
      <c r="D8" s="343" t="s">
        <v>38</v>
      </c>
      <c r="E8" s="343" t="s">
        <v>353</v>
      </c>
      <c r="F8" s="343" t="s">
        <v>40</v>
      </c>
      <c r="G8" s="294" t="s">
        <v>354</v>
      </c>
      <c r="H8" s="309" t="s">
        <v>39</v>
      </c>
      <c r="I8" s="309" t="s">
        <v>39</v>
      </c>
      <c r="J8" s="310" t="s">
        <v>39</v>
      </c>
      <c r="K8" s="310" t="s">
        <v>39</v>
      </c>
      <c r="L8" s="307" t="s">
        <v>479</v>
      </c>
      <c r="M8" s="307"/>
      <c r="N8" s="307"/>
    </row>
    <row r="9" spans="1:14">
      <c r="A9" s="150">
        <v>4</v>
      </c>
      <c r="B9" s="333" t="s">
        <v>41</v>
      </c>
      <c r="C9" s="344" t="s">
        <v>42</v>
      </c>
      <c r="D9" s="344" t="s">
        <v>43</v>
      </c>
      <c r="E9" s="344" t="s">
        <v>355</v>
      </c>
      <c r="F9" s="344" t="s">
        <v>357</v>
      </c>
      <c r="G9" s="295" t="s">
        <v>356</v>
      </c>
      <c r="H9" s="311" t="s">
        <v>44</v>
      </c>
      <c r="I9" s="311" t="s">
        <v>44</v>
      </c>
      <c r="J9" s="312" t="s">
        <v>44</v>
      </c>
      <c r="K9" s="312" t="s">
        <v>44</v>
      </c>
      <c r="L9" s="307" t="s">
        <v>479</v>
      </c>
      <c r="M9" s="307"/>
      <c r="N9" s="307"/>
    </row>
    <row r="10" spans="1:14">
      <c r="A10" s="157">
        <v>5</v>
      </c>
      <c r="B10" s="334" t="s">
        <v>32</v>
      </c>
      <c r="C10" s="345" t="s">
        <v>47</v>
      </c>
      <c r="D10" s="345" t="s">
        <v>48</v>
      </c>
      <c r="E10" s="345" t="s">
        <v>358</v>
      </c>
      <c r="F10" s="345" t="s">
        <v>360</v>
      </c>
      <c r="G10" s="296" t="s">
        <v>359</v>
      </c>
      <c r="H10" s="311" t="s">
        <v>49</v>
      </c>
      <c r="I10" s="311" t="s">
        <v>49</v>
      </c>
      <c r="J10" s="312" t="s">
        <v>49</v>
      </c>
      <c r="K10" s="312" t="s">
        <v>49</v>
      </c>
      <c r="L10" s="307" t="s">
        <v>479</v>
      </c>
      <c r="M10" s="307"/>
      <c r="N10" s="307"/>
    </row>
    <row r="11" spans="1:14">
      <c r="A11" s="164">
        <v>6</v>
      </c>
      <c r="B11" s="391" t="s">
        <v>480</v>
      </c>
      <c r="C11" s="346" t="s">
        <v>47</v>
      </c>
      <c r="D11" s="346" t="s">
        <v>52</v>
      </c>
      <c r="E11" s="346" t="s">
        <v>361</v>
      </c>
      <c r="F11" s="346" t="s">
        <v>363</v>
      </c>
      <c r="G11" s="297" t="s">
        <v>362</v>
      </c>
      <c r="H11" s="311" t="s">
        <v>53</v>
      </c>
      <c r="I11" s="311" t="s">
        <v>53</v>
      </c>
      <c r="J11" s="312" t="s">
        <v>53</v>
      </c>
      <c r="K11" s="312" t="s">
        <v>53</v>
      </c>
      <c r="L11" s="307" t="s">
        <v>479</v>
      </c>
      <c r="M11" s="307"/>
      <c r="N11" s="307"/>
    </row>
    <row r="12" spans="1:14">
      <c r="A12" s="97">
        <v>7</v>
      </c>
      <c r="B12" s="335" t="s">
        <v>55</v>
      </c>
      <c r="C12" s="347" t="s">
        <v>56</v>
      </c>
      <c r="D12" s="347" t="s">
        <v>57</v>
      </c>
      <c r="E12" s="347" t="s">
        <v>364</v>
      </c>
      <c r="F12" s="347" t="s">
        <v>366</v>
      </c>
      <c r="G12" s="298" t="s">
        <v>365</v>
      </c>
      <c r="H12" s="313" t="s">
        <v>58</v>
      </c>
      <c r="I12" s="313" t="s">
        <v>58</v>
      </c>
      <c r="J12" s="314" t="s">
        <v>58</v>
      </c>
      <c r="K12" s="314" t="s">
        <v>58</v>
      </c>
      <c r="L12" s="307" t="s">
        <v>479</v>
      </c>
      <c r="M12" s="307"/>
      <c r="N12" s="307"/>
    </row>
    <row r="13" spans="1:14">
      <c r="A13" s="104">
        <v>8</v>
      </c>
      <c r="B13" s="336" t="s">
        <v>60</v>
      </c>
      <c r="C13" s="348" t="s">
        <v>274</v>
      </c>
      <c r="D13" s="348" t="s">
        <v>303</v>
      </c>
      <c r="E13" s="348" t="s">
        <v>369</v>
      </c>
      <c r="F13" s="348" t="s">
        <v>371</v>
      </c>
      <c r="G13" s="299" t="s">
        <v>370</v>
      </c>
      <c r="H13" s="313" t="s">
        <v>304</v>
      </c>
      <c r="I13" s="313" t="s">
        <v>304</v>
      </c>
      <c r="J13" s="314" t="s">
        <v>304</v>
      </c>
      <c r="K13" s="358" t="s">
        <v>481</v>
      </c>
      <c r="L13" s="307" t="s">
        <v>482</v>
      </c>
      <c r="M13" s="307"/>
      <c r="N13" s="307"/>
    </row>
    <row r="14" spans="1:14">
      <c r="A14" s="104">
        <v>9</v>
      </c>
      <c r="B14" s="336"/>
      <c r="C14" s="348" t="s">
        <v>62</v>
      </c>
      <c r="D14" s="348" t="s">
        <v>63</v>
      </c>
      <c r="E14" s="348" t="s">
        <v>373</v>
      </c>
      <c r="F14" s="348" t="s">
        <v>376</v>
      </c>
      <c r="G14" s="299" t="s">
        <v>375</v>
      </c>
      <c r="H14" s="323" t="s">
        <v>374</v>
      </c>
      <c r="I14" s="313" t="s">
        <v>306</v>
      </c>
      <c r="J14" s="314" t="s">
        <v>306</v>
      </c>
      <c r="K14" s="314" t="s">
        <v>306</v>
      </c>
      <c r="L14" s="307" t="s">
        <v>479</v>
      </c>
      <c r="M14" s="307"/>
      <c r="N14" s="307"/>
    </row>
    <row r="15" spans="1:14">
      <c r="A15" s="104">
        <v>10</v>
      </c>
      <c r="B15" s="336"/>
      <c r="C15" s="348" t="s">
        <v>67</v>
      </c>
      <c r="D15" s="348" t="s">
        <v>377</v>
      </c>
      <c r="E15" s="348" t="s">
        <v>361</v>
      </c>
      <c r="F15" s="348" t="s">
        <v>380</v>
      </c>
      <c r="G15" s="299" t="s">
        <v>379</v>
      </c>
      <c r="H15" s="313" t="s">
        <v>278</v>
      </c>
      <c r="I15" s="313" t="s">
        <v>278</v>
      </c>
      <c r="J15" s="314" t="s">
        <v>278</v>
      </c>
      <c r="K15" s="314" t="s">
        <v>278</v>
      </c>
      <c r="L15" s="307" t="s">
        <v>479</v>
      </c>
      <c r="M15" s="307"/>
      <c r="N15" s="307"/>
    </row>
    <row r="16" spans="1:14">
      <c r="A16" s="104">
        <v>11</v>
      </c>
      <c r="B16" s="336"/>
      <c r="C16" s="348" t="s">
        <v>71</v>
      </c>
      <c r="D16" s="348" t="s">
        <v>72</v>
      </c>
      <c r="E16" s="348" t="s">
        <v>382</v>
      </c>
      <c r="F16" s="348" t="s">
        <v>384</v>
      </c>
      <c r="G16" s="299" t="s">
        <v>383</v>
      </c>
      <c r="H16" s="313" t="s">
        <v>279</v>
      </c>
      <c r="I16" s="313" t="s">
        <v>279</v>
      </c>
      <c r="J16" s="314" t="s">
        <v>279</v>
      </c>
      <c r="K16" s="314" t="s">
        <v>279</v>
      </c>
      <c r="L16" s="307" t="s">
        <v>479</v>
      </c>
      <c r="M16" s="307"/>
      <c r="N16" s="307"/>
    </row>
    <row r="17" spans="1:14">
      <c r="A17" s="112">
        <v>12</v>
      </c>
      <c r="B17" s="390" t="s">
        <v>483</v>
      </c>
      <c r="C17" s="349" t="s">
        <v>75</v>
      </c>
      <c r="D17" s="349" t="s">
        <v>76</v>
      </c>
      <c r="E17" s="349" t="s">
        <v>361</v>
      </c>
      <c r="F17" s="349" t="s">
        <v>78</v>
      </c>
      <c r="G17" s="300" t="s">
        <v>385</v>
      </c>
      <c r="H17" s="313" t="s">
        <v>77</v>
      </c>
      <c r="I17" s="313" t="s">
        <v>77</v>
      </c>
      <c r="J17" s="314" t="s">
        <v>77</v>
      </c>
      <c r="K17" s="314" t="s">
        <v>77</v>
      </c>
      <c r="L17" s="307" t="s">
        <v>479</v>
      </c>
      <c r="M17" s="307"/>
      <c r="N17" s="307"/>
    </row>
    <row r="18" spans="1:14">
      <c r="A18" s="82">
        <v>13</v>
      </c>
      <c r="B18" s="337" t="s">
        <v>79</v>
      </c>
      <c r="C18" s="372" t="s">
        <v>80</v>
      </c>
      <c r="D18" s="372" t="s">
        <v>81</v>
      </c>
      <c r="E18" s="372" t="s">
        <v>361</v>
      </c>
      <c r="F18" s="372" t="s">
        <v>83</v>
      </c>
      <c r="G18" s="373" t="s">
        <v>386</v>
      </c>
      <c r="H18" s="374" t="s">
        <v>308</v>
      </c>
      <c r="I18" s="374" t="s">
        <v>308</v>
      </c>
      <c r="J18" s="375" t="s">
        <v>308</v>
      </c>
      <c r="K18" s="376" t="s">
        <v>484</v>
      </c>
      <c r="L18" s="365" t="s">
        <v>482</v>
      </c>
      <c r="M18" s="307" t="s">
        <v>485</v>
      </c>
      <c r="N18" s="307"/>
    </row>
    <row r="19" spans="1:14">
      <c r="A19" s="328">
        <v>14</v>
      </c>
      <c r="B19" s="357" t="s">
        <v>280</v>
      </c>
      <c r="C19" s="363" t="s">
        <v>86</v>
      </c>
      <c r="D19" s="363" t="s">
        <v>388</v>
      </c>
      <c r="E19" s="363" t="s">
        <v>486</v>
      </c>
      <c r="F19" s="363" t="s">
        <v>391</v>
      </c>
      <c r="G19" s="364" t="s">
        <v>390</v>
      </c>
      <c r="H19" s="363" t="s">
        <v>281</v>
      </c>
      <c r="I19" s="363" t="s">
        <v>281</v>
      </c>
      <c r="J19" s="363" t="s">
        <v>281</v>
      </c>
      <c r="K19" s="363" t="s">
        <v>281</v>
      </c>
      <c r="L19" s="365" t="s">
        <v>479</v>
      </c>
      <c r="M19" s="307"/>
      <c r="N19" s="307"/>
    </row>
    <row r="20" spans="1:14">
      <c r="A20" s="328">
        <v>15</v>
      </c>
      <c r="B20" s="330"/>
      <c r="C20" s="329" t="s">
        <v>282</v>
      </c>
      <c r="D20" s="329" t="s">
        <v>283</v>
      </c>
      <c r="E20" s="329"/>
      <c r="F20" s="329" t="s">
        <v>285</v>
      </c>
      <c r="G20" s="328"/>
      <c r="H20" s="328" t="s">
        <v>487</v>
      </c>
      <c r="I20" s="328" t="s">
        <v>487</v>
      </c>
      <c r="J20" s="328" t="s">
        <v>487</v>
      </c>
      <c r="K20" s="359" t="s">
        <v>488</v>
      </c>
      <c r="L20" s="307" t="s">
        <v>482</v>
      </c>
      <c r="M20" s="307" t="s">
        <v>489</v>
      </c>
      <c r="N20" s="307"/>
    </row>
    <row r="21" spans="1:14">
      <c r="A21" s="328">
        <v>16</v>
      </c>
      <c r="B21" s="330"/>
      <c r="C21" s="329" t="s">
        <v>282</v>
      </c>
      <c r="D21" s="329" t="s">
        <v>283</v>
      </c>
      <c r="E21" s="329"/>
      <c r="F21" s="329" t="s">
        <v>285</v>
      </c>
      <c r="G21" s="328"/>
      <c r="H21" s="328" t="s">
        <v>487</v>
      </c>
      <c r="I21" s="328" t="s">
        <v>487</v>
      </c>
      <c r="J21" s="328" t="s">
        <v>487</v>
      </c>
      <c r="K21" s="360" t="s">
        <v>490</v>
      </c>
      <c r="L21" s="307" t="s">
        <v>482</v>
      </c>
      <c r="M21" s="307" t="s">
        <v>491</v>
      </c>
      <c r="N21" s="307"/>
    </row>
    <row r="22" spans="1:14">
      <c r="A22" s="324">
        <v>17</v>
      </c>
      <c r="B22" s="392" t="s">
        <v>492</v>
      </c>
      <c r="C22" s="329" t="s">
        <v>282</v>
      </c>
      <c r="D22" s="350"/>
      <c r="E22" s="350"/>
      <c r="F22" s="350" t="s">
        <v>288</v>
      </c>
      <c r="G22" s="325"/>
      <c r="H22" s="328" t="s">
        <v>487</v>
      </c>
      <c r="I22" s="328" t="s">
        <v>487</v>
      </c>
      <c r="J22" s="328" t="s">
        <v>487</v>
      </c>
      <c r="K22" s="361" t="s">
        <v>493</v>
      </c>
      <c r="L22" s="307" t="s">
        <v>482</v>
      </c>
      <c r="M22" s="307"/>
      <c r="N22" s="307"/>
    </row>
    <row r="23" spans="1:14">
      <c r="A23" s="70">
        <v>18</v>
      </c>
      <c r="B23" s="338" t="s">
        <v>90</v>
      </c>
      <c r="C23" s="366" t="s">
        <v>91</v>
      </c>
      <c r="D23" s="366" t="s">
        <v>393</v>
      </c>
      <c r="E23" s="366" t="s">
        <v>361</v>
      </c>
      <c r="F23" s="366" t="s">
        <v>395</v>
      </c>
      <c r="G23" s="368" t="s">
        <v>394</v>
      </c>
      <c r="H23" s="369" t="s">
        <v>93</v>
      </c>
      <c r="I23" s="369" t="s">
        <v>93</v>
      </c>
      <c r="J23" s="370" t="s">
        <v>93</v>
      </c>
      <c r="K23" s="370" t="s">
        <v>93</v>
      </c>
      <c r="L23" s="365" t="s">
        <v>479</v>
      </c>
      <c r="M23" s="307"/>
      <c r="N23" s="307"/>
    </row>
    <row r="24" spans="1:14">
      <c r="A24" s="381"/>
      <c r="C24" s="382" t="s">
        <v>91</v>
      </c>
      <c r="D24" s="382" t="s">
        <v>95</v>
      </c>
      <c r="E24" s="382" t="s">
        <v>290</v>
      </c>
      <c r="F24" s="382" t="s">
        <v>291</v>
      </c>
      <c r="G24" s="383" t="s">
        <v>397</v>
      </c>
      <c r="H24" s="384" t="s">
        <v>96</v>
      </c>
      <c r="I24" s="384" t="s">
        <v>96</v>
      </c>
      <c r="J24" s="385" t="s">
        <v>96</v>
      </c>
      <c r="K24" s="362" t="s">
        <v>494</v>
      </c>
      <c r="L24" s="307" t="s">
        <v>482</v>
      </c>
      <c r="M24" s="307" t="s">
        <v>495</v>
      </c>
      <c r="N24" s="307"/>
    </row>
    <row r="25" spans="1:14">
      <c r="A25" s="71">
        <v>19</v>
      </c>
      <c r="B25" s="339" t="s">
        <v>292</v>
      </c>
      <c r="C25" s="371" t="s">
        <v>310</v>
      </c>
      <c r="D25" s="371" t="s">
        <v>100</v>
      </c>
      <c r="E25" s="371" t="s">
        <v>361</v>
      </c>
      <c r="F25" s="371" t="s">
        <v>399</v>
      </c>
      <c r="G25" s="367" t="s">
        <v>398</v>
      </c>
      <c r="H25" s="377" t="s">
        <v>101</v>
      </c>
      <c r="I25" s="374" t="s">
        <v>101</v>
      </c>
      <c r="J25" s="375" t="s">
        <v>101</v>
      </c>
      <c r="K25" s="375" t="s">
        <v>101</v>
      </c>
      <c r="L25" s="365" t="s">
        <v>479</v>
      </c>
      <c r="M25" s="307"/>
      <c r="N25" s="307"/>
    </row>
    <row r="26" spans="1:14">
      <c r="A26" s="71">
        <v>20</v>
      </c>
      <c r="B26" s="339"/>
      <c r="C26" s="371" t="s">
        <v>310</v>
      </c>
      <c r="D26" s="371" t="s">
        <v>311</v>
      </c>
      <c r="E26" s="371" t="s">
        <v>401</v>
      </c>
      <c r="F26" s="371" t="s">
        <v>403</v>
      </c>
      <c r="G26" s="367" t="s">
        <v>402</v>
      </c>
      <c r="H26" s="378" t="s">
        <v>104</v>
      </c>
      <c r="I26" s="378" t="s">
        <v>104</v>
      </c>
      <c r="J26" s="379" t="s">
        <v>104</v>
      </c>
      <c r="K26" s="379" t="s">
        <v>104</v>
      </c>
      <c r="L26" s="365" t="s">
        <v>479</v>
      </c>
      <c r="M26" s="307"/>
      <c r="N26" s="307"/>
    </row>
    <row r="27" spans="1:14">
      <c r="A27" s="71">
        <v>21</v>
      </c>
      <c r="B27" s="339"/>
      <c r="C27" s="371" t="s">
        <v>312</v>
      </c>
      <c r="D27" s="371" t="s">
        <v>255</v>
      </c>
      <c r="E27" s="371" t="s">
        <v>361</v>
      </c>
      <c r="F27" s="371" t="s">
        <v>405</v>
      </c>
      <c r="G27" s="367" t="s">
        <v>404</v>
      </c>
      <c r="H27" s="369" t="s">
        <v>293</v>
      </c>
      <c r="I27" s="369" t="s">
        <v>293</v>
      </c>
      <c r="J27" s="370" t="s">
        <v>293</v>
      </c>
      <c r="K27" s="370" t="s">
        <v>293</v>
      </c>
      <c r="L27" s="365" t="s">
        <v>479</v>
      </c>
      <c r="M27" s="307"/>
      <c r="N27" s="307"/>
    </row>
    <row r="28" spans="1:14">
      <c r="A28" s="71">
        <v>22</v>
      </c>
      <c r="B28" s="339"/>
      <c r="C28" s="352" t="s">
        <v>313</v>
      </c>
      <c r="D28" s="352" t="s">
        <v>111</v>
      </c>
      <c r="E28" s="352" t="s">
        <v>408</v>
      </c>
      <c r="F28" s="352" t="s">
        <v>410</v>
      </c>
      <c r="G28" s="301" t="s">
        <v>409</v>
      </c>
      <c r="H28" s="317" t="s">
        <v>216</v>
      </c>
      <c r="I28" s="315" t="s">
        <v>216</v>
      </c>
      <c r="J28" s="316" t="s">
        <v>216</v>
      </c>
      <c r="K28" s="316" t="s">
        <v>216</v>
      </c>
      <c r="L28" s="307" t="s">
        <v>479</v>
      </c>
      <c r="M28" s="307"/>
      <c r="N28" s="307"/>
    </row>
    <row r="29" spans="1:14">
      <c r="A29" s="71">
        <v>23</v>
      </c>
      <c r="B29" s="339"/>
      <c r="C29" s="352" t="s">
        <v>313</v>
      </c>
      <c r="D29" s="352" t="s">
        <v>115</v>
      </c>
      <c r="E29" s="352" t="s">
        <v>412</v>
      </c>
      <c r="F29" s="352" t="s">
        <v>415</v>
      </c>
      <c r="G29" s="301" t="s">
        <v>414</v>
      </c>
      <c r="H29" s="319" t="s">
        <v>413</v>
      </c>
      <c r="I29" s="315" t="s">
        <v>116</v>
      </c>
      <c r="J29" s="316" t="s">
        <v>116</v>
      </c>
      <c r="K29" s="316" t="s">
        <v>116</v>
      </c>
      <c r="L29" s="307" t="s">
        <v>479</v>
      </c>
      <c r="M29" s="307"/>
      <c r="N29" s="307"/>
    </row>
    <row r="30" spans="1:14">
      <c r="A30" s="71">
        <v>24</v>
      </c>
      <c r="B30" s="339"/>
      <c r="C30" s="371" t="s">
        <v>314</v>
      </c>
      <c r="D30" s="371" t="s">
        <v>119</v>
      </c>
      <c r="E30" s="371" t="s">
        <v>416</v>
      </c>
      <c r="F30" s="371" t="s">
        <v>418</v>
      </c>
      <c r="G30" s="367" t="s">
        <v>417</v>
      </c>
      <c r="H30" s="369" t="s">
        <v>120</v>
      </c>
      <c r="I30" s="369" t="s">
        <v>120</v>
      </c>
      <c r="J30" s="370" t="s">
        <v>120</v>
      </c>
      <c r="K30" s="370" t="s">
        <v>120</v>
      </c>
      <c r="L30" s="365" t="s">
        <v>479</v>
      </c>
      <c r="M30" s="307"/>
      <c r="N30" s="307"/>
    </row>
    <row r="31" spans="1:14">
      <c r="A31" s="71">
        <v>25</v>
      </c>
      <c r="B31" s="339"/>
      <c r="C31" s="352" t="s">
        <v>315</v>
      </c>
      <c r="D31" s="352" t="s">
        <v>123</v>
      </c>
      <c r="E31" s="352" t="s">
        <v>419</v>
      </c>
      <c r="F31" s="352" t="s">
        <v>421</v>
      </c>
      <c r="G31" s="301" t="s">
        <v>420</v>
      </c>
      <c r="H31" s="317" t="s">
        <v>337</v>
      </c>
      <c r="I31" s="317" t="s">
        <v>337</v>
      </c>
      <c r="J31" s="322" t="s">
        <v>124</v>
      </c>
      <c r="K31" s="327" t="s">
        <v>124</v>
      </c>
      <c r="L31" s="307" t="s">
        <v>496</v>
      </c>
      <c r="M31" s="307"/>
      <c r="N31" s="307"/>
    </row>
    <row r="32" spans="1:14">
      <c r="A32" s="71">
        <v>26</v>
      </c>
      <c r="B32" s="339"/>
      <c r="C32" s="352" t="s">
        <v>316</v>
      </c>
      <c r="D32" s="352" t="s">
        <v>128</v>
      </c>
      <c r="E32" s="352" t="s">
        <v>423</v>
      </c>
      <c r="F32" s="352" t="s">
        <v>425</v>
      </c>
      <c r="G32" s="301" t="s">
        <v>424</v>
      </c>
      <c r="H32" s="317" t="s">
        <v>129</v>
      </c>
      <c r="I32" s="317" t="s">
        <v>129</v>
      </c>
      <c r="J32" s="318" t="s">
        <v>129</v>
      </c>
      <c r="K32" s="327" t="s">
        <v>129</v>
      </c>
      <c r="L32" s="307" t="s">
        <v>479</v>
      </c>
      <c r="M32" s="307"/>
      <c r="N32" s="307"/>
    </row>
    <row r="33" spans="1:14">
      <c r="A33" s="71">
        <v>27</v>
      </c>
      <c r="B33" s="339"/>
      <c r="C33" s="371" t="s">
        <v>317</v>
      </c>
      <c r="D33" s="371" t="s">
        <v>132</v>
      </c>
      <c r="E33" s="371" t="s">
        <v>423</v>
      </c>
      <c r="F33" s="371" t="s">
        <v>427</v>
      </c>
      <c r="G33" s="367" t="s">
        <v>426</v>
      </c>
      <c r="H33" s="369" t="s">
        <v>218</v>
      </c>
      <c r="I33" s="369" t="s">
        <v>218</v>
      </c>
      <c r="J33" s="370" t="s">
        <v>218</v>
      </c>
      <c r="K33" s="375" t="s">
        <v>218</v>
      </c>
      <c r="L33" s="365" t="s">
        <v>479</v>
      </c>
      <c r="M33" s="307"/>
      <c r="N33" s="307"/>
    </row>
    <row r="34" spans="1:14">
      <c r="A34" s="71">
        <v>28</v>
      </c>
      <c r="B34" s="339"/>
      <c r="C34" s="352" t="s">
        <v>318</v>
      </c>
      <c r="D34" s="352" t="s">
        <v>137</v>
      </c>
      <c r="E34" s="352" t="s">
        <v>429</v>
      </c>
      <c r="F34" s="352" t="s">
        <v>431</v>
      </c>
      <c r="G34" s="301" t="s">
        <v>430</v>
      </c>
      <c r="H34" s="317" t="s">
        <v>338</v>
      </c>
      <c r="I34" s="317" t="s">
        <v>338</v>
      </c>
      <c r="J34" s="322" t="s">
        <v>138</v>
      </c>
      <c r="K34" s="327" t="s">
        <v>138</v>
      </c>
      <c r="L34" s="307" t="s">
        <v>496</v>
      </c>
      <c r="M34" s="307"/>
      <c r="N34" s="307"/>
    </row>
    <row r="35" spans="1:14">
      <c r="A35" s="71">
        <v>29</v>
      </c>
      <c r="B35" s="339"/>
      <c r="C35" s="371" t="s">
        <v>141</v>
      </c>
      <c r="D35" s="371" t="s">
        <v>142</v>
      </c>
      <c r="E35" s="371" t="s">
        <v>361</v>
      </c>
      <c r="F35" s="371" t="s">
        <v>434</v>
      </c>
      <c r="G35" s="367" t="s">
        <v>433</v>
      </c>
      <c r="H35" s="369" t="s">
        <v>294</v>
      </c>
      <c r="I35" s="369" t="s">
        <v>294</v>
      </c>
      <c r="J35" s="370" t="s">
        <v>294</v>
      </c>
      <c r="K35" s="375" t="s">
        <v>294</v>
      </c>
      <c r="L35" s="365" t="s">
        <v>479</v>
      </c>
      <c r="M35" s="307"/>
      <c r="N35" s="307"/>
    </row>
    <row r="36" spans="1:14">
      <c r="A36" s="71">
        <v>30</v>
      </c>
      <c r="B36" s="394" t="s">
        <v>497</v>
      </c>
      <c r="C36" s="353" t="s">
        <v>141</v>
      </c>
      <c r="D36" s="353" t="s">
        <v>146</v>
      </c>
      <c r="E36" s="353" t="s">
        <v>361</v>
      </c>
      <c r="F36" s="353" t="s">
        <v>437</v>
      </c>
      <c r="G36" s="302" t="s">
        <v>436</v>
      </c>
      <c r="H36" s="319" t="s">
        <v>319</v>
      </c>
      <c r="I36" s="315" t="s">
        <v>319</v>
      </c>
      <c r="J36" s="322" t="s">
        <v>498</v>
      </c>
      <c r="K36" s="327" t="s">
        <v>498</v>
      </c>
      <c r="L36" s="307" t="s">
        <v>479</v>
      </c>
      <c r="M36" s="307"/>
      <c r="N36" s="307"/>
    </row>
    <row r="37" spans="1:14">
      <c r="A37" s="71">
        <v>31</v>
      </c>
      <c r="B37" s="338" t="s">
        <v>149</v>
      </c>
      <c r="C37" s="351" t="s">
        <v>320</v>
      </c>
      <c r="D37" s="351" t="s">
        <v>151</v>
      </c>
      <c r="E37" s="351"/>
      <c r="F37" s="351" t="s">
        <v>440</v>
      </c>
      <c r="G37" s="308" t="s">
        <v>439</v>
      </c>
      <c r="H37" s="317" t="s">
        <v>152</v>
      </c>
      <c r="I37" s="317" t="s">
        <v>152</v>
      </c>
      <c r="J37" s="318" t="s">
        <v>152</v>
      </c>
      <c r="K37" s="327" t="s">
        <v>152</v>
      </c>
      <c r="L37" s="307" t="s">
        <v>479</v>
      </c>
      <c r="M37" s="307"/>
      <c r="N37" s="307"/>
    </row>
    <row r="38" spans="1:14">
      <c r="A38" s="71">
        <v>32</v>
      </c>
      <c r="B38" s="399" t="s">
        <v>85</v>
      </c>
      <c r="C38" s="352" t="s">
        <v>321</v>
      </c>
      <c r="D38" s="352" t="s">
        <v>155</v>
      </c>
      <c r="E38" s="352"/>
      <c r="F38" s="352" t="s">
        <v>157</v>
      </c>
      <c r="G38" s="400" t="s">
        <v>441</v>
      </c>
      <c r="H38" s="351" t="s">
        <v>156</v>
      </c>
      <c r="I38" s="351" t="s">
        <v>156</v>
      </c>
      <c r="J38" s="401" t="s">
        <v>156</v>
      </c>
      <c r="K38" s="402" t="s">
        <v>156</v>
      </c>
      <c r="L38" s="403" t="s">
        <v>479</v>
      </c>
      <c r="M38" s="307"/>
      <c r="N38" s="307"/>
    </row>
    <row r="39" spans="1:14">
      <c r="A39" s="387"/>
      <c r="B39" s="392" t="s">
        <v>499</v>
      </c>
      <c r="C39" s="388"/>
      <c r="D39" s="388"/>
      <c r="E39" s="388"/>
      <c r="F39" s="388"/>
      <c r="G39" s="389"/>
      <c r="H39" s="395"/>
      <c r="I39" s="395"/>
      <c r="J39" s="396"/>
      <c r="K39" s="397"/>
      <c r="L39" s="398"/>
      <c r="M39" s="307"/>
      <c r="N39" s="307"/>
    </row>
    <row r="40" spans="1:14">
      <c r="A40" s="70">
        <v>33</v>
      </c>
      <c r="B40" s="338" t="s">
        <v>158</v>
      </c>
      <c r="C40" s="366" t="s">
        <v>324</v>
      </c>
      <c r="D40" s="366" t="s">
        <v>442</v>
      </c>
      <c r="E40" s="366" t="s">
        <v>443</v>
      </c>
      <c r="F40" s="366" t="s">
        <v>445</v>
      </c>
      <c r="G40" s="368" t="s">
        <v>444</v>
      </c>
      <c r="H40" s="369" t="s">
        <v>161</v>
      </c>
      <c r="I40" s="369" t="s">
        <v>161</v>
      </c>
      <c r="J40" s="370" t="s">
        <v>161</v>
      </c>
      <c r="K40" s="370" t="s">
        <v>161</v>
      </c>
      <c r="L40" s="365" t="s">
        <v>479</v>
      </c>
      <c r="M40" s="307"/>
      <c r="N40" s="307"/>
    </row>
    <row r="41" spans="1:14">
      <c r="A41" s="70">
        <v>34</v>
      </c>
      <c r="B41" s="339"/>
      <c r="C41" s="354" t="s">
        <v>325</v>
      </c>
      <c r="D41" s="354" t="s">
        <v>165</v>
      </c>
      <c r="E41" s="354" t="s">
        <v>361</v>
      </c>
      <c r="F41" s="354" t="s">
        <v>447</v>
      </c>
      <c r="G41" s="303" t="s">
        <v>446</v>
      </c>
      <c r="H41" s="319" t="s">
        <v>326</v>
      </c>
      <c r="I41" s="315" t="s">
        <v>326</v>
      </c>
      <c r="J41" s="316" t="s">
        <v>326</v>
      </c>
      <c r="K41" s="322" t="s">
        <v>166</v>
      </c>
      <c r="L41" s="307" t="s">
        <v>496</v>
      </c>
      <c r="M41" s="307"/>
      <c r="N41" s="307"/>
    </row>
    <row r="42" spans="1:14">
      <c r="A42" s="70">
        <v>35</v>
      </c>
      <c r="B42" s="339" t="s">
        <v>168</v>
      </c>
      <c r="C42" s="352" t="s">
        <v>327</v>
      </c>
      <c r="D42" s="352" t="s">
        <v>170</v>
      </c>
      <c r="E42" s="352" t="s">
        <v>448</v>
      </c>
      <c r="F42" s="352" t="s">
        <v>448</v>
      </c>
      <c r="G42" s="301" t="s">
        <v>449</v>
      </c>
      <c r="H42" s="317" t="s">
        <v>171</v>
      </c>
      <c r="I42" s="317" t="s">
        <v>171</v>
      </c>
      <c r="J42" s="318" t="s">
        <v>171</v>
      </c>
      <c r="K42" s="318" t="s">
        <v>171</v>
      </c>
      <c r="L42" s="307" t="s">
        <v>479</v>
      </c>
      <c r="M42" s="307"/>
      <c r="N42" s="307"/>
    </row>
    <row r="43" spans="1:14">
      <c r="A43" s="70">
        <v>36</v>
      </c>
      <c r="B43" s="339"/>
      <c r="C43" s="352" t="s">
        <v>327</v>
      </c>
      <c r="D43" s="352" t="s">
        <v>173</v>
      </c>
      <c r="E43" s="352" t="s">
        <v>450</v>
      </c>
      <c r="F43" s="352" t="s">
        <v>452</v>
      </c>
      <c r="G43" s="301" t="s">
        <v>451</v>
      </c>
      <c r="H43" s="317" t="s">
        <v>340</v>
      </c>
      <c r="I43" s="317" t="s">
        <v>340</v>
      </c>
      <c r="J43" s="322" t="s">
        <v>328</v>
      </c>
      <c r="K43" s="362" t="s">
        <v>174</v>
      </c>
      <c r="L43" s="307" t="s">
        <v>496</v>
      </c>
      <c r="M43" s="307"/>
      <c r="N43" s="307"/>
    </row>
    <row r="44" spans="1:14">
      <c r="A44" s="70">
        <v>37</v>
      </c>
      <c r="B44" s="340"/>
      <c r="C44" s="355" t="s">
        <v>330</v>
      </c>
      <c r="D44" s="355" t="s">
        <v>177</v>
      </c>
      <c r="E44" s="355" t="s">
        <v>453</v>
      </c>
      <c r="F44" s="355" t="s">
        <v>456</v>
      </c>
      <c r="G44" s="304" t="s">
        <v>455</v>
      </c>
      <c r="H44" s="319" t="s">
        <v>454</v>
      </c>
      <c r="I44" s="315" t="s">
        <v>178</v>
      </c>
      <c r="J44" s="316" t="s">
        <v>178</v>
      </c>
      <c r="K44" s="316" t="s">
        <v>178</v>
      </c>
      <c r="L44" s="307" t="s">
        <v>479</v>
      </c>
      <c r="M44" s="307"/>
      <c r="N44" s="307"/>
    </row>
    <row r="45" spans="1:14">
      <c r="A45" s="70">
        <v>38</v>
      </c>
      <c r="B45" s="339"/>
      <c r="C45" s="352" t="s">
        <v>180</v>
      </c>
      <c r="D45" s="352" t="s">
        <v>181</v>
      </c>
      <c r="E45" s="352" t="s">
        <v>457</v>
      </c>
      <c r="F45" s="352" t="s">
        <v>458</v>
      </c>
      <c r="G45" s="305" t="s">
        <v>361</v>
      </c>
      <c r="H45" s="320" t="s">
        <v>182</v>
      </c>
      <c r="I45" s="320" t="s">
        <v>182</v>
      </c>
      <c r="J45" s="321" t="s">
        <v>182</v>
      </c>
      <c r="K45" s="321" t="s">
        <v>182</v>
      </c>
      <c r="L45" s="307" t="s">
        <v>479</v>
      </c>
      <c r="M45" s="307"/>
      <c r="N45" s="307"/>
    </row>
    <row r="46" spans="1:14">
      <c r="A46" s="70">
        <v>39</v>
      </c>
      <c r="B46" s="339"/>
      <c r="C46" s="371" t="s">
        <v>185</v>
      </c>
      <c r="D46" s="371" t="s">
        <v>186</v>
      </c>
      <c r="E46" s="371" t="s">
        <v>361</v>
      </c>
      <c r="F46" s="371" t="s">
        <v>460</v>
      </c>
      <c r="G46" s="367" t="s">
        <v>459</v>
      </c>
      <c r="H46" s="369" t="s">
        <v>187</v>
      </c>
      <c r="I46" s="369" t="s">
        <v>187</v>
      </c>
      <c r="J46" s="370" t="s">
        <v>187</v>
      </c>
      <c r="K46" s="370" t="s">
        <v>187</v>
      </c>
      <c r="L46" s="365" t="s">
        <v>479</v>
      </c>
      <c r="M46" s="307"/>
      <c r="N46" s="307"/>
    </row>
    <row r="47" spans="1:14">
      <c r="A47" s="70">
        <v>40</v>
      </c>
      <c r="B47" s="339"/>
      <c r="C47" s="352" t="s">
        <v>332</v>
      </c>
      <c r="D47" s="352" t="s">
        <v>190</v>
      </c>
      <c r="E47" s="352" t="s">
        <v>461</v>
      </c>
      <c r="F47" s="352" t="s">
        <v>463</v>
      </c>
      <c r="G47" s="301" t="s">
        <v>462</v>
      </c>
      <c r="H47" s="317" t="s">
        <v>333</v>
      </c>
      <c r="I47" s="317" t="s">
        <v>333</v>
      </c>
      <c r="J47" s="318" t="s">
        <v>333</v>
      </c>
      <c r="K47" s="322" t="s">
        <v>500</v>
      </c>
      <c r="L47" s="307" t="s">
        <v>496</v>
      </c>
      <c r="M47" s="307"/>
      <c r="N47" s="307"/>
    </row>
    <row r="48" spans="1:14">
      <c r="A48" s="70">
        <v>41</v>
      </c>
      <c r="B48" s="339"/>
      <c r="C48" s="352" t="s">
        <v>334</v>
      </c>
      <c r="D48" s="352" t="s">
        <v>194</v>
      </c>
      <c r="E48" s="352" t="s">
        <v>464</v>
      </c>
      <c r="F48" s="352" t="s">
        <v>466</v>
      </c>
      <c r="G48" s="301" t="s">
        <v>465</v>
      </c>
      <c r="H48" s="317" t="s">
        <v>195</v>
      </c>
      <c r="I48" s="317" t="s">
        <v>195</v>
      </c>
      <c r="J48" s="318" t="s">
        <v>195</v>
      </c>
      <c r="K48" s="318" t="s">
        <v>195</v>
      </c>
      <c r="L48" s="307" t="s">
        <v>479</v>
      </c>
      <c r="M48" s="307"/>
      <c r="N48" s="307"/>
    </row>
    <row r="49" spans="1:14">
      <c r="A49" s="393">
        <v>42</v>
      </c>
      <c r="B49" s="404" t="s">
        <v>501</v>
      </c>
      <c r="C49" s="356" t="s">
        <v>197</v>
      </c>
      <c r="D49" s="356" t="s">
        <v>198</v>
      </c>
      <c r="E49" s="356" t="s">
        <v>467</v>
      </c>
      <c r="F49" s="356" t="s">
        <v>469</v>
      </c>
      <c r="G49" s="306" t="s">
        <v>468</v>
      </c>
      <c r="H49" s="319" t="s">
        <v>199</v>
      </c>
      <c r="I49" s="315" t="s">
        <v>199</v>
      </c>
      <c r="J49" s="316" t="s">
        <v>199</v>
      </c>
      <c r="K49" s="316" t="s">
        <v>199</v>
      </c>
      <c r="L49" s="307" t="s">
        <v>479</v>
      </c>
      <c r="M49" s="307"/>
      <c r="N49" s="307"/>
    </row>
    <row r="50" spans="1:14">
      <c r="A50" s="386" t="s">
        <v>242</v>
      </c>
      <c r="B50" s="408" t="s">
        <v>502</v>
      </c>
    </row>
    <row r="51" spans="1:14">
      <c r="C51" s="365"/>
      <c r="D51" t="s">
        <v>503</v>
      </c>
    </row>
    <row r="52" spans="1:14">
      <c r="C52" s="307"/>
      <c r="D52" t="s">
        <v>504</v>
      </c>
    </row>
    <row r="54" spans="1:14">
      <c r="C54" s="405" t="s">
        <v>505</v>
      </c>
      <c r="D54" s="406"/>
      <c r="E54" s="406"/>
      <c r="F54" s="407"/>
    </row>
  </sheetData>
  <mergeCells count="15">
    <mergeCell ref="L2:L5"/>
    <mergeCell ref="M3:M5"/>
    <mergeCell ref="N3:N5"/>
    <mergeCell ref="A2:H2"/>
    <mergeCell ref="E3:E5"/>
    <mergeCell ref="H3:H5"/>
    <mergeCell ref="G3:G5"/>
    <mergeCell ref="F3:F5"/>
    <mergeCell ref="K3:K5"/>
    <mergeCell ref="I3:I5"/>
    <mergeCell ref="J3:J5"/>
    <mergeCell ref="A3:A5"/>
    <mergeCell ref="B3:B5"/>
    <mergeCell ref="C3:C5"/>
    <mergeCell ref="D3:D5"/>
  </mergeCells>
  <phoneticPr fontId="1"/>
  <pageMargins left="0.7" right="0.7" top="0.75" bottom="0.75" header="0.3" footer="0.3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E6F7-0610-4B0E-95BC-38BBE32AEDF4}">
  <dimension ref="A1"/>
  <sheetViews>
    <sheetView workbookViewId="0">
      <selection activeCell="D24" sqref="D24"/>
    </sheetView>
  </sheetViews>
  <sheetFormatPr baseColWidth="10" defaultColWidth="8.83203125" defaultRowHeight="1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B9842E5C1FCE4ABEAD74A01FBC1675" ma:contentTypeVersion="16" ma:contentTypeDescription="新しいドキュメントを作成します。" ma:contentTypeScope="" ma:versionID="724caecfdd4798ee3ef7f6232771c098">
  <xsd:schema xmlns:xsd="http://www.w3.org/2001/XMLSchema" xmlns:xs="http://www.w3.org/2001/XMLSchema" xmlns:p="http://schemas.microsoft.com/office/2006/metadata/properties" xmlns:ns2="eb55df30-2a34-45f7-8c90-b31534229aa7" xmlns:ns3="1bc2cdaf-bec1-4fca-90f0-1089d62d0a15" targetNamespace="http://schemas.microsoft.com/office/2006/metadata/properties" ma:root="true" ma:fieldsID="fa17f918030496516bd9b86cb02d4a9c" ns2:_="" ns3:_="">
    <xsd:import namespace="eb55df30-2a34-45f7-8c90-b31534229aa7"/>
    <xsd:import namespace="1bc2cdaf-bec1-4fca-90f0-1089d62d0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5df30-2a34-45f7-8c90-b3153422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5de2d82-aea6-4789-8bef-18ef9214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2cdaf-bec1-4fca-90f0-1089d62d0a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0a5bd4-392d-4aac-aa3f-44119858cfc2}" ma:internalName="TaxCatchAll" ma:showField="CatchAllData" ma:web="1bc2cdaf-bec1-4fca-90f0-1089d62d0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bc2cdaf-bec1-4fca-90f0-1089d62d0a15">
      <UserInfo>
        <DisplayName>支所⇔米総 メンバー</DisplayName>
        <AccountId>7</AccountId>
        <AccountType/>
      </UserInfo>
    </SharedWithUsers>
    <TaxCatchAll xmlns="1bc2cdaf-bec1-4fca-90f0-1089d62d0a15" xsi:nil="true"/>
    <lcf76f155ced4ddcb4097134ff3c332f xmlns="eb55df30-2a34-45f7-8c90-b31534229a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599862-524F-416D-8E24-9A6F73C05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5df30-2a34-45f7-8c90-b31534229aa7"/>
    <ds:schemaRef ds:uri="1bc2cdaf-bec1-4fca-90f0-1089d62d0a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C55F40-6D2C-4A3B-8A4E-5E284031751D}">
  <ds:schemaRefs>
    <ds:schemaRef ds:uri="http://schemas.microsoft.com/office/2006/metadata/properties"/>
    <ds:schemaRef ds:uri="http://schemas.microsoft.com/office/infopath/2007/PartnerControls"/>
    <ds:schemaRef ds:uri="1bc2cdaf-bec1-4fca-90f0-1089d62d0a15"/>
    <ds:schemaRef ds:uri="eb55df30-2a34-45f7-8c90-b31534229aa7"/>
  </ds:schemaRefs>
</ds:datastoreItem>
</file>

<file path=customXml/itemProps3.xml><?xml version="1.0" encoding="utf-8"?>
<ds:datastoreItem xmlns:ds="http://schemas.openxmlformats.org/officeDocument/2006/customXml" ds:itemID="{4F1CF16C-D8DE-4EBF-93E0-AD6D6C4EAD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R8調査表</vt:lpstr>
      <vt:lpstr>R7調査表</vt:lpstr>
      <vt:lpstr>R6集計</vt:lpstr>
      <vt:lpstr>R5集計 </vt:lpstr>
      <vt:lpstr>R4集計</vt:lpstr>
      <vt:lpstr>R3集計</vt:lpstr>
      <vt:lpstr>Sheet2</vt:lpstr>
      <vt:lpstr>R2集計</vt:lpstr>
      <vt:lpstr>R1集計</vt:lpstr>
      <vt:lpstr>R4所有者確認</vt:lpstr>
      <vt:lpstr>Sheet1</vt:lpstr>
      <vt:lpstr>'R1集計'!Print_Area</vt:lpstr>
      <vt:lpstr>'R2集計'!Print_Area</vt:lpstr>
      <vt:lpstr>'R3集計'!Print_Area</vt:lpstr>
      <vt:lpstr>'R1集計'!Print_Titles</vt:lpstr>
      <vt:lpstr>'R2集計'!Print_Titles</vt:lpstr>
      <vt:lpstr>'R3集計'!Print_Titles</vt:lpstr>
      <vt:lpstr>'R6集計'!Print_Titles</vt:lpstr>
      <vt:lpstr>'R7調査表'!Print_Titles</vt:lpstr>
      <vt:lpstr>'R8調査表'!Print_Titles</vt:lpstr>
    </vt:vector>
  </TitlesOfParts>
  <Manager/>
  <Company>ホクレン農業協同組合連合会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l4143r</dc:creator>
  <cp:keywords/>
  <dc:description/>
  <cp:lastModifiedBy>学 根本</cp:lastModifiedBy>
  <cp:revision/>
  <dcterms:created xsi:type="dcterms:W3CDTF">2011-06-10T03:40:51Z</dcterms:created>
  <dcterms:modified xsi:type="dcterms:W3CDTF">2026-08-10T20:12:12Z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0x010100EFB9842E5C1FCE4ABEAD74A01FBC1675</vt:lpwstr>
  </property>
  <property fmtid="{D5CDD505-2E9C-101B-9397-08002B2CF9AE}" pid="3" name="MediaServiceImageTags">
    <vt:lpwstr/>
  </property>
</Properties>
</file>